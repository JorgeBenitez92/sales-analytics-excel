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tables/table1.xml" ContentType="application/vnd.openxmlformats-officedocument.spreadsheetml.table+xml"/>
  <Override PartName="/xl/drawings/drawing1.xml" ContentType="application/vnd.openxmlformats-officedocument.drawing+xml"/>
  <Override PartName="/xl/charts/chartEx1.xml" ContentType="application/vnd.ms-office.chartex+xml"/>
  <Override PartName="/xl/charts/style1.xml" ContentType="application/vnd.ms-office.chartstyle+xml"/>
  <Override PartName="/xl/charts/colors1.xml" ContentType="application/vnd.ms-office.chartcolorstyle+xml"/>
  <Override PartName="/xl/charts/chartEx2.xml" ContentType="application/vnd.ms-office.chartex+xml"/>
  <Override PartName="/xl/charts/style2.xml" ContentType="application/vnd.ms-office.chartstyle+xml"/>
  <Override PartName="/xl/charts/colors2.xml" ContentType="application/vnd.ms-office.chartcolorstyle+xml"/>
  <Override PartName="/xl/drawings/drawing2.xml" ContentType="application/vnd.openxmlformats-officedocument.drawing+xml"/>
  <Override PartName="/xl/charts/chartEx3.xml" ContentType="application/vnd.ms-office.chartex+xml"/>
  <Override PartName="/xl/charts/style3.xml" ContentType="application/vnd.ms-office.chartstyle+xml"/>
  <Override PartName="/xl/charts/colors3.xml" ContentType="application/vnd.ms-office.chartcolorsty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3.xml" ContentType="application/vnd.openxmlformats-officedocument.drawing+xml"/>
  <Override PartName="/xl/ctrlProps/ctrlProp1.xml" ContentType="application/vnd.ms-excel.controlproperties+xml"/>
  <Override PartName="/xl/ctrlProps/ctrlProp2.xml" ContentType="application/vnd.ms-excel.controlproperties+xml"/>
  <Override PartName="/xl/slicers/slicer1.xml" ContentType="application/vnd.ms-excel.slicer+xml"/>
  <Override PartName="/xl/charts/chart1.xml" ContentType="application/vnd.openxmlformats-officedocument.drawingml.chart+xml"/>
  <Override PartName="/xl/charts/style4.xml" ContentType="application/vnd.ms-office.chartstyle+xml"/>
  <Override PartName="/xl/charts/colors4.xml" ContentType="application/vnd.ms-office.chartcolorstyle+xml"/>
  <Override PartName="/xl/charts/chart2.xml" ContentType="application/vnd.openxmlformats-officedocument.drawingml.chart+xml"/>
  <Override PartName="/xl/charts/style5.xml" ContentType="application/vnd.ms-office.chartstyle+xml"/>
  <Override PartName="/xl/charts/colors5.xml" ContentType="application/vnd.ms-office.chartcolorstyle+xml"/>
  <Override PartName="/xl/charts/chart3.xml" ContentType="application/vnd.openxmlformats-officedocument.drawingml.chart+xml"/>
  <Override PartName="/xl/charts/style6.xml" ContentType="application/vnd.ms-office.chartstyle+xml"/>
  <Override PartName="/xl/charts/colors6.xml" ContentType="application/vnd.ms-office.chartcolorstyle+xml"/>
  <Override PartName="/xl/charts/chart4.xml" ContentType="application/vnd.openxmlformats-officedocument.drawingml.chart+xml"/>
  <Override PartName="/xl/charts/style7.xml" ContentType="application/vnd.ms-office.chartstyle+xml"/>
  <Override PartName="/xl/charts/colors7.xml" ContentType="application/vnd.ms-office.chartcolorstyle+xml"/>
  <Override PartName="/xl/drawings/drawing4.xml" ContentType="application/vnd.openxmlformats-officedocument.drawing+xml"/>
  <Override PartName="/xl/charts/chartEx4.xml" ContentType="application/vnd.ms-office.chartex+xml"/>
  <Override PartName="/xl/charts/style8.xml" ContentType="application/vnd.ms-office.chartstyle+xml"/>
  <Override PartName="/xl/charts/colors8.xml" ContentType="application/vnd.ms-office.chartcolorstyle+xml"/>
  <Override PartName="/xl/charts/chart5.xml" ContentType="application/vnd.openxmlformats-officedocument.drawingml.chart+xml"/>
  <Override PartName="/xl/charts/style9.xml" ContentType="application/vnd.ms-office.chartstyle+xml"/>
  <Override PartName="/xl/charts/colors9.xml" ContentType="application/vnd.ms-office.chartcolorstyle+xml"/>
  <Override PartName="/xl/charts/chart6.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5.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hidePivotFieldList="1" defaultThemeVersion="166925"/>
  <mc:AlternateContent xmlns:mc="http://schemas.openxmlformats.org/markup-compatibility/2006">
    <mc:Choice Requires="x15">
      <x15ac:absPath xmlns:x15ac="http://schemas.microsoft.com/office/spreadsheetml/2010/11/ac" url="https://d.docs.live.net/a006a2ee9cee7f03/Documentos/Ejercicios Data Anayst/MODULO MBB EXCEL Y ESTADÍSTICA/Actividad Final Modulo MBB/"/>
    </mc:Choice>
  </mc:AlternateContent>
  <xr:revisionPtr revIDLastSave="0" documentId="14_{D3417408-99C7-41B3-AB21-F9B3240CB605}" xr6:coauthVersionLast="47" xr6:coauthVersionMax="47" xr10:uidLastSave="{00000000-0000-0000-0000-000000000000}"/>
  <bookViews>
    <workbookView xWindow="-120" yWindow="-120" windowWidth="20730" windowHeight="11040" xr2:uid="{0C780352-0FDA-4DCB-A580-12F24F039519}"/>
  </bookViews>
  <sheets>
    <sheet name="Hoja1" sheetId="7" r:id="rId1"/>
    <sheet name="Datos_Ventas_Completos" sheetId="1" r:id="rId2"/>
    <sheet name="Datos_Empleados" sheetId="2" r:id="rId3"/>
    <sheet name="Datos_Productos" sheetId="3" r:id="rId4"/>
    <sheet name="Datos_Marketing" sheetId="4" r:id="rId5"/>
    <sheet name="Criterios_Analisis" sheetId="6" r:id="rId6"/>
    <sheet name="Estadisticas_Descriptivas" sheetId="8" r:id="rId7"/>
    <sheet name="Distribuciones" sheetId="9" r:id="rId8"/>
    <sheet name="Modelos_Regresion" sheetId="10" r:id="rId9"/>
    <sheet name="Inferencia_Estadistica" sheetId="15" r:id="rId10"/>
    <sheet name="Dashboard_Ejecutivo" sheetId="19" r:id="rId11"/>
    <sheet name="Resumen_Ejecutivo" sheetId="22" r:id="rId12"/>
    <sheet name="Metodología" sheetId="23" r:id="rId13"/>
    <sheet name="Glosiario" sheetId="24" r:id="rId14"/>
    <sheet name="Presentacion" sheetId="25" r:id="rId15"/>
  </sheets>
  <definedNames>
    <definedName name="_xlnm._FilterDatabase" localSheetId="1" hidden="1">Datos_Ventas_Completos!$A$1:$X$101</definedName>
    <definedName name="_xlchart.v1.0" hidden="1">Datos_Ventas_Completos!$J$1</definedName>
    <definedName name="_xlchart.v1.1" hidden="1">Datos_Ventas_Completos!$J$2:$J$210</definedName>
    <definedName name="_xlchart.v1.2" hidden="1">Datos_Ventas_Completos!$N$1</definedName>
    <definedName name="_xlchart.v1.3" hidden="1">Datos_Ventas_Completos!$N$2:$N$210</definedName>
    <definedName name="_xlchart.v1.4" hidden="1">Datos_Ventas_Completos!$N$1</definedName>
    <definedName name="_xlchart.v1.5" hidden="1">Datos_Ventas_Completos!$N$2:$N$210</definedName>
    <definedName name="_xlchart.v1.6" hidden="1">Resumen_Ejecutivo!$A$44:$A$46</definedName>
    <definedName name="_xlchart.v1.7" hidden="1">Resumen_Ejecutivo!$B$44:$B$46</definedName>
    <definedName name="_xlnm.Extract" localSheetId="1">Datos_Ventas_Completos!$A$110:$W$110</definedName>
    <definedName name="Datos_Empleados">Datos_Empleados!$A$1:$J$9</definedName>
    <definedName name="Datos_Ventas_Completos">Datos_Ventas_Completos!$A$1:$X$101</definedName>
    <definedName name="Satisfaccion_Cliente" comment="=DESREF(Datos_Ventas_Completos!$V$2,0,0,CONTARA(Datos_Ventas_Completos!$V:$V)-1,1)">Datos_Ventas_Completos!$I$2</definedName>
    <definedName name="SegmentaciónDeDatos_Canal_Venta">#N/A</definedName>
    <definedName name="SegmentaciónDeDatos_Categoria">#N/A</definedName>
    <definedName name="SegmentaciónDeDatos_Fecha">#N/A</definedName>
    <definedName name="SegmentaciónDeDatos_Region">#N/A</definedName>
    <definedName name="Ventas_Actuales" comment="=DESREF(Datos_Ventas_Completos!$I$2,0,0,CONTARA(Datos_Ventas_Completos!$I:$I)-1,1)">Datos_Ventas_Completos!$M$4</definedName>
  </definedNames>
  <calcPr calcId="191029"/>
  <pivotCaches>
    <pivotCache cacheId="0" r:id="rId16"/>
    <pivotCache cacheId="1" r:id="rId17"/>
  </pivotCaches>
  <extLst>
    <ext xmlns:x14="http://schemas.microsoft.com/office/spreadsheetml/2009/9/main" uri="{BBE1A952-AA13-448e-AADC-164F8A28A991}">
      <x14:slicerCaches>
        <x14:slicerCache r:id="rId18"/>
        <x14:slicerCache r:id="rId19"/>
        <x14:slicerCache r:id="rId20"/>
        <x14:slicerCache r:id="rId2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46" i="22" l="1"/>
  <c r="B45" i="22"/>
  <c r="B44" i="22"/>
  <c r="D14" i="19"/>
  <c r="D13" i="19"/>
  <c r="D12" i="19"/>
  <c r="D11" i="19"/>
  <c r="C14" i="19"/>
  <c r="C13" i="19"/>
  <c r="C12" i="19"/>
  <c r="C11" i="19"/>
  <c r="B14" i="19"/>
  <c r="E14" i="19" s="1"/>
  <c r="B13" i="19"/>
  <c r="E13" i="19" s="1"/>
  <c r="B12" i="19"/>
  <c r="E12" i="19" s="1"/>
  <c r="B11" i="19"/>
  <c r="E11" i="19" s="1"/>
  <c r="B4" i="19"/>
  <c r="B3" i="19"/>
  <c r="X43" i="15"/>
  <c r="X42" i="15"/>
  <c r="X44" i="15" s="1"/>
  <c r="AC3" i="1"/>
  <c r="AC4" i="1" s="1"/>
  <c r="AC2" i="1"/>
  <c r="AC5" i="1" s="1"/>
  <c r="AC1" i="1"/>
  <c r="M6" i="15"/>
  <c r="M7" i="15"/>
  <c r="M8" i="15"/>
  <c r="M5" i="15"/>
  <c r="K6" i="15"/>
  <c r="L6" i="15" s="1"/>
  <c r="N6" i="15" s="1"/>
  <c r="O6" i="15" s="1"/>
  <c r="K7" i="15"/>
  <c r="L7" i="15" s="1"/>
  <c r="N7" i="15" s="1"/>
  <c r="O7" i="15" s="1"/>
  <c r="K8" i="15"/>
  <c r="L8" i="15" s="1"/>
  <c r="N8" i="15" s="1"/>
  <c r="O8" i="15" s="1"/>
  <c r="K5" i="15"/>
  <c r="L5" i="15" s="1"/>
  <c r="N5" i="15" s="1"/>
  <c r="O5" i="15" s="1"/>
  <c r="AH17" i="1"/>
  <c r="AC7" i="1" l="1"/>
  <c r="AC6" i="1"/>
  <c r="AH11" i="1" l="1"/>
  <c r="AK2" i="1"/>
  <c r="AH6" i="1"/>
  <c r="AH2" i="1"/>
  <c r="AH1" i="1"/>
  <c r="Y3" i="1"/>
  <c r="Z3" i="1" s="1"/>
  <c r="Y4" i="1"/>
  <c r="Z4" i="1" s="1"/>
  <c r="Y5" i="1"/>
  <c r="Z5" i="1" s="1"/>
  <c r="Y6" i="1"/>
  <c r="Z6" i="1" s="1"/>
  <c r="Y7" i="1"/>
  <c r="Z7" i="1" s="1"/>
  <c r="Y8" i="1"/>
  <c r="Z8" i="1" s="1"/>
  <c r="Y9" i="1"/>
  <c r="Z9" i="1" s="1"/>
  <c r="Y10" i="1"/>
  <c r="Z10" i="1" s="1"/>
  <c r="Y11" i="1"/>
  <c r="Z11" i="1" s="1"/>
  <c r="Y12" i="1"/>
  <c r="Z12" i="1" s="1"/>
  <c r="Y13" i="1"/>
  <c r="Z13" i="1" s="1"/>
  <c r="Y14" i="1"/>
  <c r="Z14" i="1" s="1"/>
  <c r="Y15" i="1"/>
  <c r="Z15" i="1" s="1"/>
  <c r="Y16" i="1"/>
  <c r="Z16" i="1" s="1"/>
  <c r="Y17" i="1"/>
  <c r="Z17" i="1" s="1"/>
  <c r="Y18" i="1"/>
  <c r="Z18" i="1" s="1"/>
  <c r="Y19" i="1"/>
  <c r="Z19" i="1" s="1"/>
  <c r="Y20" i="1"/>
  <c r="Z20" i="1" s="1"/>
  <c r="Y21" i="1"/>
  <c r="Z21" i="1" s="1"/>
  <c r="Y22" i="1"/>
  <c r="Z22" i="1" s="1"/>
  <c r="Y23" i="1"/>
  <c r="Z23" i="1" s="1"/>
  <c r="Y24" i="1"/>
  <c r="Z24" i="1" s="1"/>
  <c r="Y25" i="1"/>
  <c r="Z25" i="1" s="1"/>
  <c r="Y26" i="1"/>
  <c r="Z26" i="1" s="1"/>
  <c r="Y27" i="1"/>
  <c r="Z27" i="1" s="1"/>
  <c r="Y28" i="1"/>
  <c r="Z28" i="1" s="1"/>
  <c r="Y29" i="1"/>
  <c r="Z29" i="1" s="1"/>
  <c r="Y30" i="1"/>
  <c r="Z30" i="1" s="1"/>
  <c r="Y31" i="1"/>
  <c r="Z31" i="1" s="1"/>
  <c r="Y32" i="1"/>
  <c r="Z32" i="1" s="1"/>
  <c r="Y33" i="1"/>
  <c r="Z33" i="1" s="1"/>
  <c r="Y34" i="1"/>
  <c r="Z34" i="1" s="1"/>
  <c r="Y35" i="1"/>
  <c r="Z35" i="1" s="1"/>
  <c r="Y36" i="1"/>
  <c r="Z36" i="1" s="1"/>
  <c r="Y37" i="1"/>
  <c r="Z37" i="1" s="1"/>
  <c r="Y38" i="1"/>
  <c r="Z38" i="1" s="1"/>
  <c r="Y39" i="1"/>
  <c r="Z39" i="1" s="1"/>
  <c r="Y40" i="1"/>
  <c r="Z40" i="1" s="1"/>
  <c r="Y41" i="1"/>
  <c r="Z41" i="1" s="1"/>
  <c r="Y42" i="1"/>
  <c r="Z42" i="1" s="1"/>
  <c r="Y43" i="1"/>
  <c r="Z43" i="1" s="1"/>
  <c r="Y44" i="1"/>
  <c r="Z44" i="1" s="1"/>
  <c r="Y45" i="1"/>
  <c r="Z45" i="1" s="1"/>
  <c r="Y46" i="1"/>
  <c r="Z46" i="1" s="1"/>
  <c r="Y47" i="1"/>
  <c r="Z47" i="1" s="1"/>
  <c r="Y48" i="1"/>
  <c r="Z48" i="1" s="1"/>
  <c r="Y49" i="1"/>
  <c r="Z49" i="1" s="1"/>
  <c r="Y50" i="1"/>
  <c r="Z50" i="1" s="1"/>
  <c r="Y51" i="1"/>
  <c r="Z51" i="1" s="1"/>
  <c r="Y52" i="1"/>
  <c r="Z52" i="1" s="1"/>
  <c r="Y53" i="1"/>
  <c r="Z53" i="1" s="1"/>
  <c r="Y54" i="1"/>
  <c r="Z54" i="1" s="1"/>
  <c r="Y55" i="1"/>
  <c r="Z55" i="1" s="1"/>
  <c r="Y56" i="1"/>
  <c r="Z56" i="1" s="1"/>
  <c r="Y57" i="1"/>
  <c r="Z57" i="1" s="1"/>
  <c r="Y58" i="1"/>
  <c r="Z58" i="1" s="1"/>
  <c r="Y59" i="1"/>
  <c r="Z59" i="1" s="1"/>
  <c r="Y60" i="1"/>
  <c r="Z60" i="1" s="1"/>
  <c r="Y61" i="1"/>
  <c r="Z61" i="1" s="1"/>
  <c r="Y62" i="1"/>
  <c r="Z62" i="1" s="1"/>
  <c r="Y63" i="1"/>
  <c r="Z63" i="1" s="1"/>
  <c r="Y64" i="1"/>
  <c r="Z64" i="1" s="1"/>
  <c r="Y65" i="1"/>
  <c r="Z65" i="1" s="1"/>
  <c r="Y66" i="1"/>
  <c r="Z66" i="1" s="1"/>
  <c r="Y67" i="1"/>
  <c r="Z67" i="1" s="1"/>
  <c r="Y68" i="1"/>
  <c r="Z68" i="1" s="1"/>
  <c r="Y69" i="1"/>
  <c r="Z69" i="1" s="1"/>
  <c r="Y70" i="1"/>
  <c r="Z70" i="1" s="1"/>
  <c r="Y71" i="1"/>
  <c r="Z71" i="1" s="1"/>
  <c r="Y72" i="1"/>
  <c r="Z72" i="1" s="1"/>
  <c r="Y73" i="1"/>
  <c r="Z73" i="1" s="1"/>
  <c r="Y74" i="1"/>
  <c r="Z74" i="1" s="1"/>
  <c r="Y75" i="1"/>
  <c r="Z75" i="1" s="1"/>
  <c r="Y76" i="1"/>
  <c r="Z76" i="1" s="1"/>
  <c r="Y77" i="1"/>
  <c r="Z77" i="1" s="1"/>
  <c r="Y78" i="1"/>
  <c r="Z78" i="1" s="1"/>
  <c r="Y79" i="1"/>
  <c r="Z79" i="1" s="1"/>
  <c r="Y80" i="1"/>
  <c r="Z80" i="1" s="1"/>
  <c r="Y81" i="1"/>
  <c r="Z81" i="1" s="1"/>
  <c r="Y82" i="1"/>
  <c r="Z82" i="1" s="1"/>
  <c r="Y83" i="1"/>
  <c r="Z83" i="1" s="1"/>
  <c r="Y84" i="1"/>
  <c r="Z84" i="1" s="1"/>
  <c r="Y85" i="1"/>
  <c r="Z85" i="1" s="1"/>
  <c r="Y86" i="1"/>
  <c r="Z86" i="1" s="1"/>
  <c r="Y87" i="1"/>
  <c r="Z87" i="1" s="1"/>
  <c r="Y88" i="1"/>
  <c r="Z88" i="1" s="1"/>
  <c r="Y89" i="1"/>
  <c r="Z89" i="1" s="1"/>
  <c r="Y90" i="1"/>
  <c r="Z90" i="1" s="1"/>
  <c r="Y91" i="1"/>
  <c r="Z91" i="1" s="1"/>
  <c r="Y92" i="1"/>
  <c r="Z92" i="1" s="1"/>
  <c r="Y93" i="1"/>
  <c r="Z93" i="1" s="1"/>
  <c r="Y94" i="1"/>
  <c r="Z94" i="1" s="1"/>
  <c r="Y95" i="1"/>
  <c r="Z95" i="1" s="1"/>
  <c r="Y96" i="1"/>
  <c r="Z96" i="1" s="1"/>
  <c r="Y97" i="1"/>
  <c r="Z97" i="1" s="1"/>
  <c r="Y98" i="1"/>
  <c r="Z98" i="1" s="1"/>
  <c r="Y99" i="1"/>
  <c r="Z99" i="1" s="1"/>
  <c r="Y100" i="1"/>
  <c r="Z100" i="1" s="1"/>
  <c r="Y101" i="1"/>
  <c r="Z101" i="1" s="1"/>
  <c r="Y2" i="1"/>
  <c r="Z2" i="1" s="1"/>
  <c r="G14" i="8"/>
  <c r="F14" i="8"/>
  <c r="E14" i="8"/>
  <c r="D14" i="8"/>
  <c r="C14" i="8"/>
  <c r="B14" i="8"/>
  <c r="G13" i="8"/>
  <c r="F13" i="8"/>
  <c r="E13" i="8"/>
  <c r="C19" i="8" s="1"/>
  <c r="D13" i="8"/>
  <c r="C13" i="8"/>
  <c r="B13" i="8"/>
  <c r="C18" i="8" s="1"/>
  <c r="G12" i="8"/>
  <c r="F12" i="8"/>
  <c r="E12" i="8"/>
  <c r="D12" i="8"/>
  <c r="C12" i="8"/>
  <c r="B12" i="8"/>
  <c r="G11" i="8"/>
  <c r="F11" i="8"/>
  <c r="E11" i="8"/>
  <c r="D11" i="8"/>
  <c r="C11" i="8"/>
  <c r="C20" i="8" s="1"/>
  <c r="B11" i="8"/>
  <c r="G10" i="8"/>
  <c r="F10" i="8"/>
  <c r="F9" i="8"/>
  <c r="E10" i="8"/>
  <c r="D10" i="8"/>
  <c r="C10" i="8"/>
  <c r="B10" i="8"/>
  <c r="G9" i="8"/>
  <c r="E9" i="8"/>
  <c r="D9" i="8"/>
  <c r="C9" i="8"/>
  <c r="C21" i="8" s="1"/>
  <c r="B9" i="8"/>
  <c r="B6" i="9"/>
  <c r="B5" i="9"/>
  <c r="B4" i="9"/>
  <c r="B3" i="9"/>
  <c r="B2" i="9"/>
  <c r="G5" i="8" a="1"/>
  <c r="G5" i="8" s="1"/>
  <c r="H5" i="8" a="1"/>
  <c r="H5" i="8" s="1"/>
  <c r="H4" i="8" a="1"/>
  <c r="H4" i="8" s="1"/>
  <c r="H3" i="8" a="1"/>
  <c r="H3" i="8" s="1"/>
  <c r="H2" i="8" a="1"/>
  <c r="H2" i="8" s="1"/>
  <c r="G2" i="8" a="1"/>
  <c r="G2" i="8" s="1"/>
  <c r="G3" i="8" a="1"/>
  <c r="G3" i="8" s="1"/>
  <c r="G4" i="8" a="1"/>
  <c r="G4" i="8" s="1"/>
  <c r="E5" i="8" a="1"/>
  <c r="E5" i="8" s="1"/>
  <c r="F5" i="8" s="1"/>
  <c r="E4" i="8" a="1"/>
  <c r="E4" i="8" s="1"/>
  <c r="F4" i="8" s="1"/>
  <c r="E3" i="8" a="1"/>
  <c r="E3" i="8" s="1"/>
  <c r="E2" i="8" a="1"/>
  <c r="E2" i="8" s="1"/>
  <c r="D5" i="8" a="1"/>
  <c r="D5" i="8" s="1"/>
  <c r="D4" i="8" a="1"/>
  <c r="D4" i="8" s="1"/>
  <c r="D3" i="8" a="1"/>
  <c r="D3" i="8" s="1"/>
  <c r="D2" i="8" a="1"/>
  <c r="D2" i="8" s="1"/>
  <c r="C5" i="8"/>
  <c r="C4" i="8"/>
  <c r="C3" i="8"/>
  <c r="C2" i="8"/>
  <c r="B5" i="8"/>
  <c r="B4" i="8"/>
  <c r="B3" i="8"/>
  <c r="B2" i="8"/>
  <c r="X3" i="1"/>
  <c r="X4" i="1"/>
  <c r="X5" i="1"/>
  <c r="X6" i="1"/>
  <c r="X7" i="1"/>
  <c r="X8" i="1"/>
  <c r="X9" i="1"/>
  <c r="X10" i="1"/>
  <c r="X11" i="1"/>
  <c r="X12" i="1"/>
  <c r="X13" i="1"/>
  <c r="X14" i="1"/>
  <c r="X15" i="1"/>
  <c r="X16" i="1"/>
  <c r="X17" i="1"/>
  <c r="X18" i="1"/>
  <c r="X19" i="1"/>
  <c r="X20" i="1"/>
  <c r="X21" i="1"/>
  <c r="X22" i="1"/>
  <c r="X23" i="1"/>
  <c r="X24" i="1"/>
  <c r="X25" i="1"/>
  <c r="X26" i="1"/>
  <c r="X27" i="1"/>
  <c r="X28" i="1"/>
  <c r="X29" i="1"/>
  <c r="X30" i="1"/>
  <c r="X31" i="1"/>
  <c r="X32" i="1"/>
  <c r="X33" i="1"/>
  <c r="X34" i="1"/>
  <c r="X35" i="1"/>
  <c r="X36" i="1"/>
  <c r="X37" i="1"/>
  <c r="X38" i="1"/>
  <c r="X39" i="1"/>
  <c r="X40" i="1"/>
  <c r="X41" i="1"/>
  <c r="X42" i="1"/>
  <c r="X43" i="1"/>
  <c r="X44" i="1"/>
  <c r="X45" i="1"/>
  <c r="X46" i="1"/>
  <c r="X47" i="1"/>
  <c r="X48" i="1"/>
  <c r="X49" i="1"/>
  <c r="X50" i="1"/>
  <c r="X51" i="1"/>
  <c r="X52" i="1"/>
  <c r="X53" i="1"/>
  <c r="X54" i="1"/>
  <c r="X55" i="1"/>
  <c r="X56" i="1"/>
  <c r="X57" i="1"/>
  <c r="X58" i="1"/>
  <c r="X59" i="1"/>
  <c r="X60" i="1"/>
  <c r="X61" i="1"/>
  <c r="X62" i="1"/>
  <c r="X63" i="1"/>
  <c r="X64" i="1"/>
  <c r="X65" i="1"/>
  <c r="X66" i="1"/>
  <c r="X67" i="1"/>
  <c r="X68" i="1"/>
  <c r="X69" i="1"/>
  <c r="X70" i="1"/>
  <c r="X71" i="1"/>
  <c r="X72" i="1"/>
  <c r="X73" i="1"/>
  <c r="X74" i="1"/>
  <c r="X75" i="1"/>
  <c r="X76" i="1"/>
  <c r="X77" i="1"/>
  <c r="X78" i="1"/>
  <c r="X79" i="1"/>
  <c r="X80" i="1"/>
  <c r="X81" i="1"/>
  <c r="X82" i="1"/>
  <c r="X83" i="1"/>
  <c r="X84" i="1"/>
  <c r="X85" i="1"/>
  <c r="X86" i="1"/>
  <c r="X87" i="1"/>
  <c r="X88" i="1"/>
  <c r="X89" i="1"/>
  <c r="X90" i="1"/>
  <c r="X91" i="1"/>
  <c r="X92" i="1"/>
  <c r="X93" i="1"/>
  <c r="X94" i="1"/>
  <c r="X95" i="1"/>
  <c r="X96" i="1"/>
  <c r="X97" i="1"/>
  <c r="X98" i="1"/>
  <c r="X99" i="1"/>
  <c r="X100" i="1"/>
  <c r="X101" i="1"/>
  <c r="X2" i="1"/>
  <c r="W3" i="1"/>
  <c r="W4" i="1"/>
  <c r="W5" i="1"/>
  <c r="W6" i="1"/>
  <c r="W7" i="1"/>
  <c r="W8" i="1"/>
  <c r="W9" i="1"/>
  <c r="W10" i="1"/>
  <c r="W11" i="1"/>
  <c r="W12" i="1"/>
  <c r="W13" i="1"/>
  <c r="W14" i="1"/>
  <c r="W15" i="1"/>
  <c r="W16" i="1"/>
  <c r="W17" i="1"/>
  <c r="W18" i="1"/>
  <c r="W19" i="1"/>
  <c r="W20" i="1"/>
  <c r="W21" i="1"/>
  <c r="W22" i="1"/>
  <c r="W23" i="1"/>
  <c r="W24" i="1"/>
  <c r="W25" i="1"/>
  <c r="W26" i="1"/>
  <c r="W27" i="1"/>
  <c r="W28" i="1"/>
  <c r="W29" i="1"/>
  <c r="W30" i="1"/>
  <c r="W31" i="1"/>
  <c r="W32" i="1"/>
  <c r="W33" i="1"/>
  <c r="W34" i="1"/>
  <c r="W35" i="1"/>
  <c r="W36" i="1"/>
  <c r="W37" i="1"/>
  <c r="W38" i="1"/>
  <c r="W39" i="1"/>
  <c r="W40" i="1"/>
  <c r="W41" i="1"/>
  <c r="W42" i="1"/>
  <c r="W43" i="1"/>
  <c r="W44" i="1"/>
  <c r="W45" i="1"/>
  <c r="W46" i="1"/>
  <c r="W47" i="1"/>
  <c r="W48" i="1"/>
  <c r="W49" i="1"/>
  <c r="W50" i="1"/>
  <c r="W51" i="1"/>
  <c r="W52" i="1"/>
  <c r="W53" i="1"/>
  <c r="W54" i="1"/>
  <c r="W55" i="1"/>
  <c r="W56" i="1"/>
  <c r="W57" i="1"/>
  <c r="W58" i="1"/>
  <c r="W59" i="1"/>
  <c r="W60" i="1"/>
  <c r="W61" i="1"/>
  <c r="W62" i="1"/>
  <c r="W63" i="1"/>
  <c r="W64" i="1"/>
  <c r="W65" i="1"/>
  <c r="W66" i="1"/>
  <c r="W67" i="1"/>
  <c r="W68" i="1"/>
  <c r="W69" i="1"/>
  <c r="W70" i="1"/>
  <c r="W71" i="1"/>
  <c r="W72" i="1"/>
  <c r="W73" i="1"/>
  <c r="W74" i="1"/>
  <c r="W75" i="1"/>
  <c r="W76" i="1"/>
  <c r="W77" i="1"/>
  <c r="W78" i="1"/>
  <c r="W79" i="1"/>
  <c r="W80" i="1"/>
  <c r="W81" i="1"/>
  <c r="W82" i="1"/>
  <c r="W83" i="1"/>
  <c r="W84" i="1"/>
  <c r="W85" i="1"/>
  <c r="W86" i="1"/>
  <c r="W87" i="1"/>
  <c r="W88" i="1"/>
  <c r="W89" i="1"/>
  <c r="W90" i="1"/>
  <c r="W91" i="1"/>
  <c r="W92" i="1"/>
  <c r="W93" i="1"/>
  <c r="W94" i="1"/>
  <c r="W95" i="1"/>
  <c r="W96" i="1"/>
  <c r="W97" i="1"/>
  <c r="W98" i="1"/>
  <c r="W99" i="1"/>
  <c r="W100" i="1"/>
  <c r="W101" i="1"/>
  <c r="W2" i="1"/>
  <c r="V2" i="1"/>
  <c r="V3" i="1"/>
  <c r="V4" i="1"/>
  <c r="V5" i="1"/>
  <c r="V6" i="1"/>
  <c r="V7" i="1"/>
  <c r="V8" i="1"/>
  <c r="V9" i="1"/>
  <c r="V10" i="1"/>
  <c r="V11" i="1"/>
  <c r="V12" i="1"/>
  <c r="V13" i="1"/>
  <c r="V14" i="1"/>
  <c r="V15" i="1"/>
  <c r="V16" i="1"/>
  <c r="V17" i="1"/>
  <c r="V18" i="1"/>
  <c r="V19" i="1"/>
  <c r="V20" i="1"/>
  <c r="V21" i="1"/>
  <c r="V22" i="1"/>
  <c r="V23" i="1"/>
  <c r="V24" i="1"/>
  <c r="V25" i="1"/>
  <c r="V26" i="1"/>
  <c r="V27" i="1"/>
  <c r="V28" i="1"/>
  <c r="V29" i="1"/>
  <c r="V30" i="1"/>
  <c r="V31" i="1"/>
  <c r="V32" i="1"/>
  <c r="V33" i="1"/>
  <c r="V34" i="1"/>
  <c r="V35" i="1"/>
  <c r="V36" i="1"/>
  <c r="V37" i="1"/>
  <c r="V38" i="1"/>
  <c r="V39" i="1"/>
  <c r="V40" i="1"/>
  <c r="V41" i="1"/>
  <c r="V42" i="1"/>
  <c r="V43" i="1"/>
  <c r="V44" i="1"/>
  <c r="V45" i="1"/>
  <c r="V46" i="1"/>
  <c r="V47" i="1"/>
  <c r="V48" i="1"/>
  <c r="V49" i="1"/>
  <c r="V50" i="1"/>
  <c r="V51" i="1"/>
  <c r="V52" i="1"/>
  <c r="V53" i="1"/>
  <c r="V54" i="1"/>
  <c r="V55" i="1"/>
  <c r="V56" i="1"/>
  <c r="V57" i="1"/>
  <c r="V58" i="1"/>
  <c r="V59" i="1"/>
  <c r="V60" i="1"/>
  <c r="V61" i="1"/>
  <c r="V62" i="1"/>
  <c r="V63" i="1"/>
  <c r="V64" i="1"/>
  <c r="V65" i="1"/>
  <c r="V66" i="1"/>
  <c r="V67" i="1"/>
  <c r="V68" i="1"/>
  <c r="V69" i="1"/>
  <c r="V70" i="1"/>
  <c r="V71" i="1"/>
  <c r="V72" i="1"/>
  <c r="V73" i="1"/>
  <c r="V74" i="1"/>
  <c r="V75" i="1"/>
  <c r="V76" i="1"/>
  <c r="V77" i="1"/>
  <c r="V78" i="1"/>
  <c r="V79" i="1"/>
  <c r="V80" i="1"/>
  <c r="V81" i="1"/>
  <c r="V82" i="1"/>
  <c r="V83" i="1"/>
  <c r="V84" i="1"/>
  <c r="V85" i="1"/>
  <c r="V86" i="1"/>
  <c r="V87" i="1"/>
  <c r="V88" i="1"/>
  <c r="V89" i="1"/>
  <c r="V90" i="1"/>
  <c r="V91" i="1"/>
  <c r="V92" i="1"/>
  <c r="V93" i="1"/>
  <c r="V94" i="1"/>
  <c r="V95" i="1"/>
  <c r="V96" i="1"/>
  <c r="V97" i="1"/>
  <c r="V98" i="1"/>
  <c r="V99" i="1"/>
  <c r="V100" i="1"/>
  <c r="V101" i="1"/>
  <c r="U3" i="1"/>
  <c r="U4" i="1"/>
  <c r="U5" i="1"/>
  <c r="U6" i="1"/>
  <c r="U7" i="1"/>
  <c r="U8" i="1"/>
  <c r="U9" i="1"/>
  <c r="U10" i="1"/>
  <c r="U11" i="1"/>
  <c r="U12" i="1"/>
  <c r="U13" i="1"/>
  <c r="U14" i="1"/>
  <c r="U15" i="1"/>
  <c r="U16" i="1"/>
  <c r="U17" i="1"/>
  <c r="U18" i="1"/>
  <c r="U19" i="1"/>
  <c r="U20" i="1"/>
  <c r="U21" i="1"/>
  <c r="U22" i="1"/>
  <c r="U23" i="1"/>
  <c r="U24" i="1"/>
  <c r="U25" i="1"/>
  <c r="U26" i="1"/>
  <c r="U27" i="1"/>
  <c r="U28" i="1"/>
  <c r="U29" i="1"/>
  <c r="U30" i="1"/>
  <c r="U31" i="1"/>
  <c r="U32" i="1"/>
  <c r="U33" i="1"/>
  <c r="U34" i="1"/>
  <c r="U35" i="1"/>
  <c r="U36" i="1"/>
  <c r="U37" i="1"/>
  <c r="U38" i="1"/>
  <c r="U39" i="1"/>
  <c r="U40" i="1"/>
  <c r="U41" i="1"/>
  <c r="U42" i="1"/>
  <c r="U43" i="1"/>
  <c r="U44" i="1"/>
  <c r="U45" i="1"/>
  <c r="U46" i="1"/>
  <c r="U47" i="1"/>
  <c r="U48" i="1"/>
  <c r="U49" i="1"/>
  <c r="U50" i="1"/>
  <c r="U51" i="1"/>
  <c r="U52" i="1"/>
  <c r="U53" i="1"/>
  <c r="U54" i="1"/>
  <c r="U55" i="1"/>
  <c r="U56" i="1"/>
  <c r="U57" i="1"/>
  <c r="U58" i="1"/>
  <c r="U59" i="1"/>
  <c r="U60" i="1"/>
  <c r="U61" i="1"/>
  <c r="U62" i="1"/>
  <c r="U63" i="1"/>
  <c r="U64" i="1"/>
  <c r="U65" i="1"/>
  <c r="U66" i="1"/>
  <c r="U67" i="1"/>
  <c r="U68" i="1"/>
  <c r="U69" i="1"/>
  <c r="U70" i="1"/>
  <c r="U71" i="1"/>
  <c r="U72" i="1"/>
  <c r="U73" i="1"/>
  <c r="U74" i="1"/>
  <c r="U75" i="1"/>
  <c r="U76" i="1"/>
  <c r="U77" i="1"/>
  <c r="U78" i="1"/>
  <c r="U79" i="1"/>
  <c r="U80" i="1"/>
  <c r="U81" i="1"/>
  <c r="U82" i="1"/>
  <c r="U83" i="1"/>
  <c r="U84" i="1"/>
  <c r="U85" i="1"/>
  <c r="U86" i="1"/>
  <c r="U87" i="1"/>
  <c r="U88" i="1"/>
  <c r="U89" i="1"/>
  <c r="U90" i="1"/>
  <c r="U91" i="1"/>
  <c r="U92" i="1"/>
  <c r="U93" i="1"/>
  <c r="U94" i="1"/>
  <c r="U95" i="1"/>
  <c r="U96" i="1"/>
  <c r="U97" i="1"/>
  <c r="U98" i="1"/>
  <c r="U99" i="1"/>
  <c r="U100" i="1"/>
  <c r="U101" i="1"/>
  <c r="U2" i="1"/>
  <c r="T3" i="1"/>
  <c r="T4" i="1"/>
  <c r="T5" i="1"/>
  <c r="T6" i="1"/>
  <c r="T7" i="1"/>
  <c r="T8" i="1"/>
  <c r="T9" i="1"/>
  <c r="T10" i="1"/>
  <c r="T11" i="1"/>
  <c r="T12" i="1"/>
  <c r="T13" i="1"/>
  <c r="T14" i="1"/>
  <c r="T15" i="1"/>
  <c r="T16" i="1"/>
  <c r="T17" i="1"/>
  <c r="T18" i="1"/>
  <c r="T19" i="1"/>
  <c r="T20" i="1"/>
  <c r="T21" i="1"/>
  <c r="T22" i="1"/>
  <c r="T23" i="1"/>
  <c r="T24" i="1"/>
  <c r="T25" i="1"/>
  <c r="T26" i="1"/>
  <c r="T27" i="1"/>
  <c r="T28" i="1"/>
  <c r="T29" i="1"/>
  <c r="T30" i="1"/>
  <c r="T31" i="1"/>
  <c r="T32" i="1"/>
  <c r="T33" i="1"/>
  <c r="T34" i="1"/>
  <c r="T35" i="1"/>
  <c r="T36" i="1"/>
  <c r="T37" i="1"/>
  <c r="T38" i="1"/>
  <c r="T39" i="1"/>
  <c r="T40" i="1"/>
  <c r="T41" i="1"/>
  <c r="T42" i="1"/>
  <c r="T43" i="1"/>
  <c r="T44" i="1"/>
  <c r="T45" i="1"/>
  <c r="T46" i="1"/>
  <c r="T47" i="1"/>
  <c r="T48" i="1"/>
  <c r="T49" i="1"/>
  <c r="T50" i="1"/>
  <c r="T51" i="1"/>
  <c r="T52" i="1"/>
  <c r="T53" i="1"/>
  <c r="T54" i="1"/>
  <c r="T55" i="1"/>
  <c r="T56" i="1"/>
  <c r="T57" i="1"/>
  <c r="T58" i="1"/>
  <c r="T59" i="1"/>
  <c r="T60" i="1"/>
  <c r="T61" i="1"/>
  <c r="T62" i="1"/>
  <c r="T63" i="1"/>
  <c r="T64" i="1"/>
  <c r="T65" i="1"/>
  <c r="T66" i="1"/>
  <c r="T67" i="1"/>
  <c r="T68" i="1"/>
  <c r="T69" i="1"/>
  <c r="T70" i="1"/>
  <c r="T71" i="1"/>
  <c r="T72" i="1"/>
  <c r="T73" i="1"/>
  <c r="T74" i="1"/>
  <c r="T75" i="1"/>
  <c r="T76" i="1"/>
  <c r="T77" i="1"/>
  <c r="T78" i="1"/>
  <c r="T79" i="1"/>
  <c r="T80" i="1"/>
  <c r="T81" i="1"/>
  <c r="T82" i="1"/>
  <c r="T83" i="1"/>
  <c r="T84" i="1"/>
  <c r="T85" i="1"/>
  <c r="T86" i="1"/>
  <c r="T87" i="1"/>
  <c r="T88" i="1"/>
  <c r="T89" i="1"/>
  <c r="T90" i="1"/>
  <c r="T91" i="1"/>
  <c r="T92" i="1"/>
  <c r="T93" i="1"/>
  <c r="T94" i="1"/>
  <c r="T95" i="1"/>
  <c r="T96" i="1"/>
  <c r="T97" i="1"/>
  <c r="T98" i="1"/>
  <c r="T99" i="1"/>
  <c r="T100" i="1"/>
  <c r="T101" i="1"/>
  <c r="T2" i="1"/>
  <c r="S3" i="1"/>
  <c r="S4" i="1"/>
  <c r="S5" i="1"/>
  <c r="S6" i="1"/>
  <c r="S7" i="1"/>
  <c r="S8" i="1"/>
  <c r="S9" i="1"/>
  <c r="S10" i="1"/>
  <c r="S11" i="1"/>
  <c r="S12" i="1"/>
  <c r="S13" i="1"/>
  <c r="S14" i="1"/>
  <c r="S15" i="1"/>
  <c r="S16" i="1"/>
  <c r="S17" i="1"/>
  <c r="S18" i="1"/>
  <c r="S19" i="1"/>
  <c r="S20" i="1"/>
  <c r="S21" i="1"/>
  <c r="S22" i="1"/>
  <c r="S23" i="1"/>
  <c r="S24" i="1"/>
  <c r="S25" i="1"/>
  <c r="S26" i="1"/>
  <c r="S27" i="1"/>
  <c r="S28" i="1"/>
  <c r="S29" i="1"/>
  <c r="S30" i="1"/>
  <c r="S31" i="1"/>
  <c r="S32" i="1"/>
  <c r="S33" i="1"/>
  <c r="S34" i="1"/>
  <c r="S35" i="1"/>
  <c r="S36" i="1"/>
  <c r="S37" i="1"/>
  <c r="S38" i="1"/>
  <c r="S39" i="1"/>
  <c r="S40" i="1"/>
  <c r="S41" i="1"/>
  <c r="S42" i="1"/>
  <c r="S43" i="1"/>
  <c r="S44" i="1"/>
  <c r="S45" i="1"/>
  <c r="S46" i="1"/>
  <c r="S47" i="1"/>
  <c r="S48" i="1"/>
  <c r="S49" i="1"/>
  <c r="S50" i="1"/>
  <c r="S51" i="1"/>
  <c r="S52" i="1"/>
  <c r="S53" i="1"/>
  <c r="S54" i="1"/>
  <c r="S55" i="1"/>
  <c r="S56" i="1"/>
  <c r="S57" i="1"/>
  <c r="S58" i="1"/>
  <c r="S59" i="1"/>
  <c r="S60" i="1"/>
  <c r="S61" i="1"/>
  <c r="S62" i="1"/>
  <c r="S63" i="1"/>
  <c r="S64" i="1"/>
  <c r="S65" i="1"/>
  <c r="S66" i="1"/>
  <c r="S67" i="1"/>
  <c r="S68" i="1"/>
  <c r="S69" i="1"/>
  <c r="S70" i="1"/>
  <c r="S71" i="1"/>
  <c r="S72" i="1"/>
  <c r="S73" i="1"/>
  <c r="S74" i="1"/>
  <c r="S75" i="1"/>
  <c r="S76" i="1"/>
  <c r="S77" i="1"/>
  <c r="S78" i="1"/>
  <c r="S79" i="1"/>
  <c r="S80" i="1"/>
  <c r="S81" i="1"/>
  <c r="S82" i="1"/>
  <c r="S83" i="1"/>
  <c r="S84" i="1"/>
  <c r="S85" i="1"/>
  <c r="S86" i="1"/>
  <c r="S87" i="1"/>
  <c r="S88" i="1"/>
  <c r="S89" i="1"/>
  <c r="S90" i="1"/>
  <c r="S91" i="1"/>
  <c r="S92" i="1"/>
  <c r="S93" i="1"/>
  <c r="S94" i="1"/>
  <c r="S95" i="1"/>
  <c r="S96" i="1"/>
  <c r="S97" i="1"/>
  <c r="S98" i="1"/>
  <c r="S99" i="1"/>
  <c r="S100" i="1"/>
  <c r="S101" i="1"/>
  <c r="S2" i="1"/>
  <c r="R3" i="1"/>
  <c r="R4" i="1"/>
  <c r="R5" i="1"/>
  <c r="R6" i="1"/>
  <c r="R7" i="1"/>
  <c r="R8" i="1"/>
  <c r="R9" i="1"/>
  <c r="R10" i="1"/>
  <c r="R11" i="1"/>
  <c r="R12" i="1"/>
  <c r="R13" i="1"/>
  <c r="R14" i="1"/>
  <c r="R15" i="1"/>
  <c r="R16" i="1"/>
  <c r="R17" i="1"/>
  <c r="R18" i="1"/>
  <c r="R19" i="1"/>
  <c r="R20" i="1"/>
  <c r="R21" i="1"/>
  <c r="R22" i="1"/>
  <c r="R23" i="1"/>
  <c r="R24" i="1"/>
  <c r="R25" i="1"/>
  <c r="R26" i="1"/>
  <c r="R27" i="1"/>
  <c r="R28" i="1"/>
  <c r="R29" i="1"/>
  <c r="R30" i="1"/>
  <c r="R31" i="1"/>
  <c r="R32" i="1"/>
  <c r="R33" i="1"/>
  <c r="R34" i="1"/>
  <c r="R35" i="1"/>
  <c r="R36" i="1"/>
  <c r="R37" i="1"/>
  <c r="R38" i="1"/>
  <c r="R39" i="1"/>
  <c r="R40" i="1"/>
  <c r="R41" i="1"/>
  <c r="R42" i="1"/>
  <c r="R43" i="1"/>
  <c r="R44" i="1"/>
  <c r="R45" i="1"/>
  <c r="R46" i="1"/>
  <c r="R47" i="1"/>
  <c r="R48" i="1"/>
  <c r="R49" i="1"/>
  <c r="R50" i="1"/>
  <c r="R51" i="1"/>
  <c r="R52" i="1"/>
  <c r="R53" i="1"/>
  <c r="R54" i="1"/>
  <c r="R55" i="1"/>
  <c r="R56" i="1"/>
  <c r="R57" i="1"/>
  <c r="R58" i="1"/>
  <c r="R59" i="1"/>
  <c r="R60" i="1"/>
  <c r="R61" i="1"/>
  <c r="R62" i="1"/>
  <c r="R63" i="1"/>
  <c r="R64" i="1"/>
  <c r="R65" i="1"/>
  <c r="R66" i="1"/>
  <c r="R67" i="1"/>
  <c r="R68" i="1"/>
  <c r="R69" i="1"/>
  <c r="R70" i="1"/>
  <c r="R71" i="1"/>
  <c r="R72" i="1"/>
  <c r="R73" i="1"/>
  <c r="R74" i="1"/>
  <c r="R75" i="1"/>
  <c r="R76" i="1"/>
  <c r="R77" i="1"/>
  <c r="R78" i="1"/>
  <c r="R79" i="1"/>
  <c r="R80" i="1"/>
  <c r="R81" i="1"/>
  <c r="R82" i="1"/>
  <c r="R83" i="1"/>
  <c r="R84" i="1"/>
  <c r="R85" i="1"/>
  <c r="R86" i="1"/>
  <c r="R87" i="1"/>
  <c r="R88" i="1"/>
  <c r="R89" i="1"/>
  <c r="R90" i="1"/>
  <c r="R91" i="1"/>
  <c r="R92" i="1"/>
  <c r="R93" i="1"/>
  <c r="R94" i="1"/>
  <c r="R95" i="1"/>
  <c r="R96" i="1"/>
  <c r="R97" i="1"/>
  <c r="R98" i="1"/>
  <c r="R99" i="1"/>
  <c r="R100" i="1"/>
  <c r="R101" i="1"/>
  <c r="R2" i="1"/>
  <c r="Q3" i="1"/>
  <c r="Q4" i="1"/>
  <c r="Q5" i="1"/>
  <c r="Q6" i="1"/>
  <c r="Q7" i="1"/>
  <c r="Q8" i="1"/>
  <c r="Q9" i="1"/>
  <c r="Q10" i="1"/>
  <c r="Q11" i="1"/>
  <c r="Q12" i="1"/>
  <c r="Q13" i="1"/>
  <c r="Q14" i="1"/>
  <c r="Q15" i="1"/>
  <c r="Q16" i="1"/>
  <c r="Q17" i="1"/>
  <c r="Q18" i="1"/>
  <c r="Q19" i="1"/>
  <c r="Q20" i="1"/>
  <c r="Q21" i="1"/>
  <c r="Q22" i="1"/>
  <c r="Q23" i="1"/>
  <c r="Q24" i="1"/>
  <c r="Q25" i="1"/>
  <c r="Q26" i="1"/>
  <c r="Q27" i="1"/>
  <c r="Q28" i="1"/>
  <c r="Q29" i="1"/>
  <c r="Q30" i="1"/>
  <c r="Q31" i="1"/>
  <c r="Q32" i="1"/>
  <c r="Q33" i="1"/>
  <c r="Q34" i="1"/>
  <c r="Q35" i="1"/>
  <c r="Q36" i="1"/>
  <c r="Q37" i="1"/>
  <c r="Q38" i="1"/>
  <c r="Q39" i="1"/>
  <c r="Q40" i="1"/>
  <c r="Q41" i="1"/>
  <c r="Q42" i="1"/>
  <c r="Q43" i="1"/>
  <c r="Q44" i="1"/>
  <c r="Q45" i="1"/>
  <c r="Q46" i="1"/>
  <c r="Q47" i="1"/>
  <c r="Q48" i="1"/>
  <c r="Q49" i="1"/>
  <c r="Q50" i="1"/>
  <c r="Q51" i="1"/>
  <c r="Q52" i="1"/>
  <c r="Q53" i="1"/>
  <c r="Q54" i="1"/>
  <c r="Q55" i="1"/>
  <c r="Q56" i="1"/>
  <c r="Q57" i="1"/>
  <c r="Q58" i="1"/>
  <c r="Q59" i="1"/>
  <c r="Q60" i="1"/>
  <c r="Q61" i="1"/>
  <c r="Q62" i="1"/>
  <c r="Q63" i="1"/>
  <c r="Q64" i="1"/>
  <c r="Q65" i="1"/>
  <c r="Q66" i="1"/>
  <c r="Q67" i="1"/>
  <c r="Q68" i="1"/>
  <c r="Q69" i="1"/>
  <c r="Q70" i="1"/>
  <c r="Q71" i="1"/>
  <c r="Q72" i="1"/>
  <c r="Q73" i="1"/>
  <c r="Q74" i="1"/>
  <c r="Q75" i="1"/>
  <c r="Q76" i="1"/>
  <c r="Q77" i="1"/>
  <c r="Q78" i="1"/>
  <c r="Q79" i="1"/>
  <c r="Q80" i="1"/>
  <c r="Q81" i="1"/>
  <c r="Q82" i="1"/>
  <c r="Q83" i="1"/>
  <c r="Q84" i="1"/>
  <c r="Q85" i="1"/>
  <c r="Q86" i="1"/>
  <c r="Q87" i="1"/>
  <c r="Q88" i="1"/>
  <c r="Q89" i="1"/>
  <c r="Q90" i="1"/>
  <c r="Q91" i="1"/>
  <c r="Q92" i="1"/>
  <c r="Q93" i="1"/>
  <c r="Q94" i="1"/>
  <c r="Q95" i="1"/>
  <c r="Q96" i="1"/>
  <c r="Q97" i="1"/>
  <c r="Q98" i="1"/>
  <c r="Q99" i="1"/>
  <c r="Q100" i="1"/>
  <c r="Q101" i="1"/>
  <c r="Q2" i="1"/>
  <c r="B6" i="19" l="1"/>
  <c r="AH3" i="1"/>
  <c r="AH5" i="1" s="1"/>
  <c r="I4" i="8"/>
  <c r="I3" i="8"/>
  <c r="I2" i="8"/>
  <c r="F2" i="8"/>
  <c r="F3" i="8"/>
  <c r="I5" i="8"/>
  <c r="AH4" i="1" l="1"/>
  <c r="AA9" i="1" s="1"/>
  <c r="AA89" i="1"/>
  <c r="AA18" i="1"/>
  <c r="AA58" i="1"/>
  <c r="AA82" i="1"/>
  <c r="AA98" i="1"/>
  <c r="AA19" i="1"/>
  <c r="AA35" i="1"/>
  <c r="AA43" i="1"/>
  <c r="AA59" i="1"/>
  <c r="AA83" i="1"/>
  <c r="AA99" i="1"/>
  <c r="AA4" i="1"/>
  <c r="AA20" i="1"/>
  <c r="AA44" i="1"/>
  <c r="AA60" i="1"/>
  <c r="AA68" i="1"/>
  <c r="AA84" i="1"/>
  <c r="AA5" i="1"/>
  <c r="AA21" i="1"/>
  <c r="AA29" i="1"/>
  <c r="AA45" i="1"/>
  <c r="AA69" i="1"/>
  <c r="AA85" i="1"/>
  <c r="AA93" i="1"/>
  <c r="AA6" i="1"/>
  <c r="AA30" i="1"/>
  <c r="AA46" i="1"/>
  <c r="AA54" i="1"/>
  <c r="AA70" i="1"/>
  <c r="AA94" i="1"/>
  <c r="AA7" i="1"/>
  <c r="AA15" i="1"/>
  <c r="AA31" i="1"/>
  <c r="AA47" i="1"/>
  <c r="AA55" i="1"/>
  <c r="AA71" i="1"/>
  <c r="AA79" i="1"/>
  <c r="AA95" i="1"/>
  <c r="AA16" i="1"/>
  <c r="AA24" i="1"/>
  <c r="AA40" i="1"/>
  <c r="AA48" i="1"/>
  <c r="AA64" i="1"/>
  <c r="AA80" i="1"/>
  <c r="AA88" i="1"/>
  <c r="AA49" i="1" l="1"/>
  <c r="AA34" i="1"/>
  <c r="AA65" i="1"/>
  <c r="AA56" i="1"/>
  <c r="AA87" i="1"/>
  <c r="AA23" i="1"/>
  <c r="AA62" i="1"/>
  <c r="AA101" i="1"/>
  <c r="AA37" i="1"/>
  <c r="AA76" i="1"/>
  <c r="AA12" i="1"/>
  <c r="AA51" i="1"/>
  <c r="AA90" i="1"/>
  <c r="AA26" i="1"/>
  <c r="AA57" i="1"/>
  <c r="AA41" i="1"/>
  <c r="AA74" i="1"/>
  <c r="AA10" i="1"/>
  <c r="AA96" i="1"/>
  <c r="AA32" i="1"/>
  <c r="AA63" i="1"/>
  <c r="AA2" i="1"/>
  <c r="AA38" i="1"/>
  <c r="AA77" i="1"/>
  <c r="AA13" i="1"/>
  <c r="AH12" i="1" s="1" a="1"/>
  <c r="AH12" i="1" s="1"/>
  <c r="AA52" i="1"/>
  <c r="AA91" i="1"/>
  <c r="AA27" i="1"/>
  <c r="AA66" i="1"/>
  <c r="AA97" i="1"/>
  <c r="AA33" i="1"/>
  <c r="AA25" i="1"/>
  <c r="AA17" i="1"/>
  <c r="AA86" i="1"/>
  <c r="AA22" i="1"/>
  <c r="AA61" i="1"/>
  <c r="AA100" i="1"/>
  <c r="AA36" i="1"/>
  <c r="AA75" i="1"/>
  <c r="AA11" i="1"/>
  <c r="AA50" i="1"/>
  <c r="AA81" i="1"/>
  <c r="AA72" i="1"/>
  <c r="AA8" i="1"/>
  <c r="AA39" i="1"/>
  <c r="AA78" i="1"/>
  <c r="AA14" i="1"/>
  <c r="AA53" i="1"/>
  <c r="AA92" i="1"/>
  <c r="AA28" i="1"/>
  <c r="AA67" i="1"/>
  <c r="AA3" i="1"/>
  <c r="AA42" i="1"/>
  <c r="AA73" i="1"/>
  <c r="AH7" i="1"/>
  <c r="AK3" i="1" l="1" a="1"/>
  <c r="AK3" i="1"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<sst xmlns="http://schemas.openxmlformats.org/spreadsheetml/2006/main" count="1395" uniqueCount="461">
  <si>
    <t>ID_Transaccion</t>
  </si>
  <si>
    <t>Fecha</t>
  </si>
  <si>
    <t>Region</t>
  </si>
  <si>
    <t>Canal_Venta</t>
  </si>
  <si>
    <t>Categoria</t>
  </si>
  <si>
    <t>Producto</t>
  </si>
  <si>
    <t>Vendedor</t>
  </si>
  <si>
    <t>Precio_Unitario</t>
  </si>
  <si>
    <t>Cantidad</t>
  </si>
  <si>
    <t>Ingresos_Totales</t>
  </si>
  <si>
    <t>Costo_Unitario</t>
  </si>
  <si>
    <t>Margen_Bruto</t>
  </si>
  <si>
    <t>Satisfaccion_Cliente</t>
  </si>
  <si>
    <t>Tiempo_Entrega</t>
  </si>
  <si>
    <t>Descuento_Aplicado</t>
  </si>
  <si>
    <t>Metodo_Pago</t>
  </si>
  <si>
    <t>Rentabilidad_Pct</t>
  </si>
  <si>
    <t>Categoria_Cliente</t>
  </si>
  <si>
    <t>Trimestre</t>
  </si>
  <si>
    <t>Semana_Año</t>
  </si>
  <si>
    <t>Eficiencia_Entrega</t>
  </si>
  <si>
    <t>TXN001</t>
  </si>
  <si>
    <t>Norte</t>
  </si>
  <si>
    <t>Online</t>
  </si>
  <si>
    <t>Tablets</t>
  </si>
  <si>
    <t>Galaxy Tab S9</t>
  </si>
  <si>
    <t>José Martín</t>
  </si>
  <si>
    <t>Transferencia</t>
  </si>
  <si>
    <t>TXN002</t>
  </si>
  <si>
    <t>Laptops</t>
  </si>
  <si>
    <t>Gaming Pro X1</t>
  </si>
  <si>
    <t>TXN003</t>
  </si>
  <si>
    <t>Sur</t>
  </si>
  <si>
    <t>Tienda</t>
  </si>
  <si>
    <t>Ana García</t>
  </si>
  <si>
    <t>Efectivo</t>
  </si>
  <si>
    <t>TXN004</t>
  </si>
  <si>
    <t>Business Y2</t>
  </si>
  <si>
    <t>Pedro González</t>
  </si>
  <si>
    <t>Tarjeta</t>
  </si>
  <si>
    <t>TXN005</t>
  </si>
  <si>
    <t>Este</t>
  </si>
  <si>
    <t>Distribuidor</t>
  </si>
  <si>
    <t>TXN006</t>
  </si>
  <si>
    <t>Oeste</t>
  </si>
  <si>
    <t>Smartphones</t>
  </si>
  <si>
    <t>Pixel 8 Pro</t>
  </si>
  <si>
    <t>TXN007</t>
  </si>
  <si>
    <t>iPad Air</t>
  </si>
  <si>
    <t>María Rodríguez</t>
  </si>
  <si>
    <t>TXN008</t>
  </si>
  <si>
    <t>TXN009</t>
  </si>
  <si>
    <t>TXN010</t>
  </si>
  <si>
    <t>Miguel Torres</t>
  </si>
  <si>
    <t>TXN011</t>
  </si>
  <si>
    <t>TXN012</t>
  </si>
  <si>
    <t>Galaxy S24</t>
  </si>
  <si>
    <t>TXN013</t>
  </si>
  <si>
    <t>Surface Pro 9</t>
  </si>
  <si>
    <t>TXN014</t>
  </si>
  <si>
    <t>TXN015</t>
  </si>
  <si>
    <t>TXN016</t>
  </si>
  <si>
    <t>TXN017</t>
  </si>
  <si>
    <t>Carlos López</t>
  </si>
  <si>
    <t>TXN018</t>
  </si>
  <si>
    <t>iPhone 15 Pro</t>
  </si>
  <si>
    <t>TXN019</t>
  </si>
  <si>
    <t>Carmen Ruiz</t>
  </si>
  <si>
    <t>TXN020</t>
  </si>
  <si>
    <t>TXN021</t>
  </si>
  <si>
    <t>TXN022</t>
  </si>
  <si>
    <t>Laura Sánchez</t>
  </si>
  <si>
    <t>TXN023</t>
  </si>
  <si>
    <t>TXN024</t>
  </si>
  <si>
    <t>TXN025</t>
  </si>
  <si>
    <t>TXN026</t>
  </si>
  <si>
    <t>TXN027</t>
  </si>
  <si>
    <t>TXN028</t>
  </si>
  <si>
    <t>UltraBook Z3</t>
  </si>
  <si>
    <t>TXN029</t>
  </si>
  <si>
    <t>TXN030</t>
  </si>
  <si>
    <t>TXN031</t>
  </si>
  <si>
    <t>TXN032</t>
  </si>
  <si>
    <t>TXN033</t>
  </si>
  <si>
    <t>TXN034</t>
  </si>
  <si>
    <t>TXN035</t>
  </si>
  <si>
    <t>TXN036</t>
  </si>
  <si>
    <t>TXN037</t>
  </si>
  <si>
    <t>TXN038</t>
  </si>
  <si>
    <t>TXN039</t>
  </si>
  <si>
    <t>TXN040</t>
  </si>
  <si>
    <t>TXN041</t>
  </si>
  <si>
    <t>TXN042</t>
  </si>
  <si>
    <t>TXN043</t>
  </si>
  <si>
    <t>TXN044</t>
  </si>
  <si>
    <t>TXN045</t>
  </si>
  <si>
    <t>TXN046</t>
  </si>
  <si>
    <t>TXN047</t>
  </si>
  <si>
    <t>TXN048</t>
  </si>
  <si>
    <t>TXN049</t>
  </si>
  <si>
    <t>TXN050</t>
  </si>
  <si>
    <t>TXN051</t>
  </si>
  <si>
    <t>TXN052</t>
  </si>
  <si>
    <t>TXN053</t>
  </si>
  <si>
    <t>TXN054</t>
  </si>
  <si>
    <t>TXN055</t>
  </si>
  <si>
    <t>TXN056</t>
  </si>
  <si>
    <t>TXN057</t>
  </si>
  <si>
    <t>TXN058</t>
  </si>
  <si>
    <t>TXN059</t>
  </si>
  <si>
    <t>TXN060</t>
  </si>
  <si>
    <t>TXN061</t>
  </si>
  <si>
    <t>TXN062</t>
  </si>
  <si>
    <t>TXN063</t>
  </si>
  <si>
    <t>TXN064</t>
  </si>
  <si>
    <t>TXN065</t>
  </si>
  <si>
    <t>TXN066</t>
  </si>
  <si>
    <t>TXN067</t>
  </si>
  <si>
    <t>TXN068</t>
  </si>
  <si>
    <t>TXN069</t>
  </si>
  <si>
    <t>TXN070</t>
  </si>
  <si>
    <t>TXN071</t>
  </si>
  <si>
    <t>TXN072</t>
  </si>
  <si>
    <t>TXN073</t>
  </si>
  <si>
    <t>TXN074</t>
  </si>
  <si>
    <t>TXN075</t>
  </si>
  <si>
    <t>TXN076</t>
  </si>
  <si>
    <t>TXN077</t>
  </si>
  <si>
    <t>TXN078</t>
  </si>
  <si>
    <t>TXN079</t>
  </si>
  <si>
    <t>TXN080</t>
  </si>
  <si>
    <t>TXN081</t>
  </si>
  <si>
    <t>TXN082</t>
  </si>
  <si>
    <t>TXN083</t>
  </si>
  <si>
    <t>TXN084</t>
  </si>
  <si>
    <t>TXN085</t>
  </si>
  <si>
    <t>TXN086</t>
  </si>
  <si>
    <t>TXN087</t>
  </si>
  <si>
    <t>TXN088</t>
  </si>
  <si>
    <t>TXN089</t>
  </si>
  <si>
    <t>TXN090</t>
  </si>
  <si>
    <t>TXN091</t>
  </si>
  <si>
    <t>TXN092</t>
  </si>
  <si>
    <t>TXN093</t>
  </si>
  <si>
    <t>TXN094</t>
  </si>
  <si>
    <t>TXN095</t>
  </si>
  <si>
    <t>TXN096</t>
  </si>
  <si>
    <t>TXN097</t>
  </si>
  <si>
    <t>TXN098</t>
  </si>
  <si>
    <t>TXN099</t>
  </si>
  <si>
    <t>TXN100</t>
  </si>
  <si>
    <t>ID_Empleado</t>
  </si>
  <si>
    <t>Nombre</t>
  </si>
  <si>
    <t>Puesto</t>
  </si>
  <si>
    <t>Antiguedad_Meses</t>
  </si>
  <si>
    <t>Ventas_Objetivo</t>
  </si>
  <si>
    <t>Ventas_Reales</t>
  </si>
  <si>
    <t>Comision_Pct</t>
  </si>
  <si>
    <t>Satisfaccion_Laboral</t>
  </si>
  <si>
    <t>Capacitaciones_Completadas</t>
  </si>
  <si>
    <t>EMP001</t>
  </si>
  <si>
    <t>Vendedor Senior</t>
  </si>
  <si>
    <t>EMP002</t>
  </si>
  <si>
    <t>EMP003</t>
  </si>
  <si>
    <t>EMP004</t>
  </si>
  <si>
    <t>EMP005</t>
  </si>
  <si>
    <t>EMP006</t>
  </si>
  <si>
    <t>EMP007</t>
  </si>
  <si>
    <t>EMP008</t>
  </si>
  <si>
    <t>Codigo_Producto</t>
  </si>
  <si>
    <t>Nombre_Producto</t>
  </si>
  <si>
    <t>Precio_Lista</t>
  </si>
  <si>
    <t>Costo_Produccion</t>
  </si>
  <si>
    <t>Margen_Objetivo</t>
  </si>
  <si>
    <t>Stock_Actual</t>
  </si>
  <si>
    <t>Proveedor</t>
  </si>
  <si>
    <t>Tiempo_Reposicion</t>
  </si>
  <si>
    <t>PROD001</t>
  </si>
  <si>
    <t>TechSupply Inc</t>
  </si>
  <si>
    <t>PROD002</t>
  </si>
  <si>
    <t>PROD003</t>
  </si>
  <si>
    <t>PROD004</t>
  </si>
  <si>
    <t>Mobile Direct</t>
  </si>
  <si>
    <t>PROD005</t>
  </si>
  <si>
    <t>PROD006</t>
  </si>
  <si>
    <t>PROD007</t>
  </si>
  <si>
    <t>Tablet Corp</t>
  </si>
  <si>
    <t>PROD008</t>
  </si>
  <si>
    <t>PROD009</t>
  </si>
  <si>
    <t>Canal_Marketing</t>
  </si>
  <si>
    <t>Inversion</t>
  </si>
  <si>
    <t>Impresiones</t>
  </si>
  <si>
    <t>Clicks</t>
  </si>
  <si>
    <t>Conversiones</t>
  </si>
  <si>
    <t>Costo_Por_Click</t>
  </si>
  <si>
    <t>ROI</t>
  </si>
  <si>
    <t>Google Ads</t>
  </si>
  <si>
    <t>Facebook Ads</t>
  </si>
  <si>
    <t>LinkedIn Ads</t>
  </si>
  <si>
    <t>Email Marketing</t>
  </si>
  <si>
    <t>Antigüedad_Vendedor</t>
  </si>
  <si>
    <t>Satisfaccion_Laboral_Vendedor</t>
  </si>
  <si>
    <t>Stock_Disponible</t>
  </si>
  <si>
    <t>&gt;2000</t>
  </si>
  <si>
    <t>&gt;4</t>
  </si>
  <si>
    <t>&lt;4</t>
  </si>
  <si>
    <t>Premium</t>
  </si>
  <si>
    <t>Q1</t>
  </si>
  <si>
    <t>Estandar</t>
  </si>
  <si>
    <t>Riesgo</t>
  </si>
  <si>
    <t>Etiquetas de fila</t>
  </si>
  <si>
    <t>Total general</t>
  </si>
  <si>
    <t>Etiquetas de columna</t>
  </si>
  <si>
    <t>Suma de Ingresos_Totales</t>
  </si>
  <si>
    <t>Suma de Ingresos_Totales Q1</t>
  </si>
  <si>
    <t>Suma de Satisfaccion_Cliente Q1</t>
  </si>
  <si>
    <t>Total Suma de Ingresos_Totales</t>
  </si>
  <si>
    <t>Total Suma de Satisfaccion_Cliente</t>
  </si>
  <si>
    <t>Suma de Satisfaccion_Cliente</t>
  </si>
  <si>
    <t>Cuenta de ID_Transaccion Q1</t>
  </si>
  <si>
    <t>Total Cuenta de ID_Transaccion</t>
  </si>
  <si>
    <t>Cuenta de ID_Transaccion</t>
  </si>
  <si>
    <t>Suma de Rentabilidad_Pct Q1</t>
  </si>
  <si>
    <t>Total Suma de Rentabilidad_Pct</t>
  </si>
  <si>
    <t>Suma de Rentabilidad_Pct</t>
  </si>
  <si>
    <t>(Todas)</t>
  </si>
  <si>
    <t>Suma de Margen_Promedio Q1</t>
  </si>
  <si>
    <t>Total Suma de Margen_Promedio</t>
  </si>
  <si>
    <t>Suma de Margen_Promedio</t>
  </si>
  <si>
    <t>Suma de Ticket_Promedio Q1</t>
  </si>
  <si>
    <t>Total Suma de Ticket_Promedio</t>
  </si>
  <si>
    <t>Suma de Ticket_Promedio</t>
  </si>
  <si>
    <t>Suma de Margen_Promedio2 Q1</t>
  </si>
  <si>
    <t>Total Suma de Margen_Promedio2</t>
  </si>
  <si>
    <t>Suma de Margen_Promedio2</t>
  </si>
  <si>
    <t>Suma de Ticket_Promedio2 Q1</t>
  </si>
  <si>
    <t>Total Suma de Ticket_Promedio2</t>
  </si>
  <si>
    <t>Suma de Ticket_Promedio2</t>
  </si>
  <si>
    <t>N</t>
  </si>
  <si>
    <t>Media_Ingresos</t>
  </si>
  <si>
    <t>Mediana_Ingresos</t>
  </si>
  <si>
    <t>Desv_Est</t>
  </si>
  <si>
    <t>CV</t>
  </si>
  <si>
    <t>Q3</t>
  </si>
  <si>
    <t>IQR</t>
  </si>
  <si>
    <t>Media</t>
  </si>
  <si>
    <t>Mediana</t>
  </si>
  <si>
    <t>Asimetría (SKEV)</t>
  </si>
  <si>
    <t>Desviación estándar</t>
  </si>
  <si>
    <t>Curtosis</t>
  </si>
  <si>
    <t>MATRIZ DE CORRELACIONES</t>
  </si>
  <si>
    <t>Variable 1</t>
  </si>
  <si>
    <t>Variable 2</t>
  </si>
  <si>
    <t>Correlación</t>
  </si>
  <si>
    <t>Tipo</t>
  </si>
  <si>
    <t>Interpretación</t>
  </si>
  <si>
    <t>¿Espuria?</t>
  </si>
  <si>
    <t>Fuerte positiva</t>
  </si>
  <si>
    <t>A mayor cantidad vendida, mayores ingresos.</t>
  </si>
  <si>
    <t>No</t>
  </si>
  <si>
    <t>Muy débil negativa</t>
  </si>
  <si>
    <t xml:space="preserve">El precio no afecta significativamente la cantidad vendida. </t>
  </si>
  <si>
    <t>Sí</t>
  </si>
  <si>
    <t>Débil negativa</t>
  </si>
  <si>
    <t xml:space="preserve">Mayor tiempo de entrega reduce ligeramente la satisfacción del cliente. </t>
  </si>
  <si>
    <t xml:space="preserve">Mayores ingresos no implican mayor satisfacción del cliente. </t>
  </si>
  <si>
    <t>Posible</t>
  </si>
  <si>
    <t>Z_Score_Ingresos</t>
  </si>
  <si>
    <t>Outlier_Z</t>
  </si>
  <si>
    <t>Q1_Ingresos</t>
  </si>
  <si>
    <t>Q3_Ingresos</t>
  </si>
  <si>
    <t>IQR_Ingresos</t>
  </si>
  <si>
    <t>Limite_Inferior</t>
  </si>
  <si>
    <t>Limite_Superior</t>
  </si>
  <si>
    <t>Outlier_IQR</t>
  </si>
  <si>
    <t>Con Outliers</t>
  </si>
  <si>
    <t>Sin Outliers</t>
  </si>
  <si>
    <t>Desviacion estándar</t>
  </si>
  <si>
    <t>Correlaciones</t>
  </si>
  <si>
    <t>Ingresos vs Cantidad</t>
  </si>
  <si>
    <t>La eliminación de outliers reduce la variabilidad de los datos y puede modificar ligeramente la media y las correlaciones, permitiendo un análisis más representativo del comportamiento general.</t>
  </si>
  <si>
    <t>Resumen</t>
  </si>
  <si>
    <t>Estadísticas de la regresión</t>
  </si>
  <si>
    <t>Coeficiente de correlación múltiple</t>
  </si>
  <si>
    <t>Coeficiente de determinación R^2</t>
  </si>
  <si>
    <t>R^2  ajustado</t>
  </si>
  <si>
    <t>Error típico</t>
  </si>
  <si>
    <t>Observaciones</t>
  </si>
  <si>
    <t>ANÁLISIS DE VARIANZA</t>
  </si>
  <si>
    <t>Regresión</t>
  </si>
  <si>
    <t>Residuos</t>
  </si>
  <si>
    <t>Total</t>
  </si>
  <si>
    <t>Intercepción</t>
  </si>
  <si>
    <t>Grados de libertad</t>
  </si>
  <si>
    <t>Suma de cuadrados</t>
  </si>
  <si>
    <t>Promedio de los cuadrados</t>
  </si>
  <si>
    <t>F</t>
  </si>
  <si>
    <t>Valor crítico de F</t>
  </si>
  <si>
    <t>Coeficientes</t>
  </si>
  <si>
    <t>Estadístico t</t>
  </si>
  <si>
    <t>Probabilidad</t>
  </si>
  <si>
    <t>Inferior 95%</t>
  </si>
  <si>
    <t>Superior 95%</t>
  </si>
  <si>
    <t>Inferior 95.0%</t>
  </si>
  <si>
    <t>Superior 95.0%</t>
  </si>
  <si>
    <t>Análisis de los residuales</t>
  </si>
  <si>
    <t>Observación</t>
  </si>
  <si>
    <t>Pronóstico Ingresos_Totales</t>
  </si>
  <si>
    <t>Con pendiente negativa a mayor satisfacción, los ingresos disminuyen ligeramente.</t>
  </si>
  <si>
    <t>El modelo explica muy poco la variabilidad de los ingresos.</t>
  </si>
  <si>
    <t>El modelo múltiple explica mucho mejor los ingresos que el modelo simple.</t>
  </si>
  <si>
    <t>El modelo de regresión múltiple muestra una mejora significativa en el poder explicativo (R² ≈ 0.37). La variable más influyente es el descuento, seguido por la satisfacción del cliente. El efecto negativo del descuento sugiere que mayores descuentos reducen los ingresos, mientras que el precio tiene un impacto positivo.</t>
  </si>
  <si>
    <t>El modelo de regresión múltiple mejora significativamente la capacidad explicativa respecto al modelo simple. Se identifica que el descuento aplicado tiene el mayor impacto negativo en los ingresos, mientras que el precio unitario contribuye positivamente. La satisfacción del cliente presenta una relación negativa, lo cual puede indicar dinámicas particulares del negocio. En general, el modelo permite una mejor comprensión de los factores que influyen en los ingresos.</t>
  </si>
  <si>
    <t>No se observan problemas graves de multicolinealidad, ya que las correlaciones entre variables independientes no son excesivamente altas.</t>
  </si>
  <si>
    <t>El análisis de residuos no muestra patrones evidentes, lo que sugiere que el modelo cumple razonablemente con los supuestos de linealidad y homocedasticidad.</t>
  </si>
  <si>
    <t>Los residuos se distribuyen de forma aleatoria alrededor de cero, lo que indica un ajuste adecuado del modelo.</t>
  </si>
  <si>
    <t>La variable descuento aplicado es estadísticamente significativa, mientras que las demás variables presentan menor relevancia estadística dentro del modelo.</t>
  </si>
  <si>
    <t>Se identifican diferencias en los coeficientes entre regiones, lo que sugiere que los factores que influyen en los ingresos varían según el mercado. Esto permite desarrollar estrategias específicas por región.</t>
  </si>
  <si>
    <t>La elasticidad precio-demanda es negativa, lo que indica que al aumentar el precio, la cantidad demandada disminuye. La magnitud de la elasticidad sugiere que la demanda es (elástica/inelástica).</t>
  </si>
  <si>
    <t>Precio</t>
  </si>
  <si>
    <t>Ingresos</t>
  </si>
  <si>
    <t>Valor variable</t>
  </si>
  <si>
    <t>fórmula</t>
  </si>
  <si>
    <t>Análisis de varianza de un factor</t>
  </si>
  <si>
    <t>RESUMEN</t>
  </si>
  <si>
    <t>Grupos</t>
  </si>
  <si>
    <t>Cuenta</t>
  </si>
  <si>
    <t>Suma</t>
  </si>
  <si>
    <t>Promedio</t>
  </si>
  <si>
    <t>Varianza</t>
  </si>
  <si>
    <t>Origen de las variaciones</t>
  </si>
  <si>
    <t>Valor crítico para F</t>
  </si>
  <si>
    <t>Entre grupos</t>
  </si>
  <si>
    <t>Dentro de los grupos</t>
  </si>
  <si>
    <t>El análisis ANOVA muestra que no existen diferencias estadísticamente significativas en los ingresos entre las regiones (p-value = 0.8949). Esto indica que el desempeño es similar en todas las regiones.</t>
  </si>
  <si>
    <t>A pesar de no existir diferencias significativas, la región Oeste presenta el mayor ingreso promedio, seguida por la región Este.</t>
  </si>
  <si>
    <t>Desv</t>
  </si>
  <si>
    <t>Error</t>
  </si>
  <si>
    <t>t</t>
  </si>
  <si>
    <t>LI</t>
  </si>
  <si>
    <t>LS</t>
  </si>
  <si>
    <t>Los intervalos de confianza por región muestran que los ingresos promedio se encuentran dentro de rangos similares, lo que refuerza el resultado del ANOVA al no evidenciar diferencias estadísticamente significativas entre regiones.</t>
  </si>
  <si>
    <t>Prueba t para dos muestras suponiendo varianzas desiguales</t>
  </si>
  <si>
    <t>Diferencia hipotética de las medias</t>
  </si>
  <si>
    <t>P(T&lt;=t) una cola</t>
  </si>
  <si>
    <t>Valor crítico de t (una cola)</t>
  </si>
  <si>
    <t>P(T&lt;=t) dos colas</t>
  </si>
  <si>
    <t>Valor crítico de t (dos colas)</t>
  </si>
  <si>
    <t>La prueba t indica que no existe una diferencia estadísticamente significativa en la satisfacción del cliente entre el canal online y la tienda física (p-value = 0.7233).</t>
  </si>
  <si>
    <t>El análisis integral muestra que no existen diferencias significativas en los ingresos entre regiones, lo que indica un desempeño homogéneo a nivel geográfico. Asimismo, no se encontraron diferencias significativas en la satisfacción del cliente entre el canal online y la tienda física, sugiriendo consistencia en la experiencia del cliente. Sin embargo, se identificaron variables clave como la cantidad y el precio unitario que impactan significativamente los ingresos, lo que permite orientar estrategias comerciales hacia la optimización de estos factores.</t>
  </si>
  <si>
    <t>Se recomienda enfocar los esfuerzos en optimizar variables operativas como el precio y la cantidad de ventas, ya que estas tienen un impacto significativo en los ingresos. Además, mantener la consistencia en la experiencia del cliente en todos los canales y regiones, aprovechando que no existen diferencias significativas, permite escalar estrategias comerciales de manera uniforme. Finalmente, se sugiere continuar monitoreando posibles valores atípicos y realizar análisis periódicos para detectar oportunidades de mejora.</t>
  </si>
  <si>
    <t>Con_Descuento</t>
  </si>
  <si>
    <t>Sin_Descuento</t>
  </si>
  <si>
    <t>El análisis muestra que no existe una diferencia estadísticamente significativa en los ingresos entre las ventas con descuento y sin descuento (p-value = 0.6086). Sin embargo, se observa que en promedio los ingresos son mayores cuando no se aplican descuentos, lo que podría indicar un posible impacto negativo de los descuentos en los ingresos, aunque no es concluyente estadísticamente.</t>
  </si>
  <si>
    <t>El análisis integral revela que los ingresos presentan un comportamiento consistente entre regiones, sin diferencias estadísticamente significativas. Asimismo, la satisfacción del cliente se mantiene homogénea entre los canales online y tienda física. En cuanto al impacto de descuentos, no se encontró evidencia estadística suficiente para afirmar una diferencia en los ingresos; sin embargo, se observa una tendencia donde las ventas sin descuento generan mayores ingresos promedio. Finalmente, variables como la cantidad y el precio unitario muestran una influencia significativa en el desempeño, destacando su importancia en la estrategia comercial.</t>
  </si>
  <si>
    <t>Se recomienda enfocar las estrategias comerciales en la optimización del volumen de ventas y la política de precios, dado su impacto directo en los ingresos. Además, mantener una estrategia homogénea entre regiones y canales resulta viable, ya que no se identificaron diferencias significativas. En relación con los descuentos, se sugiere utilizarlos de manera estratégica y controlada, evaluando su impacto en la rentabilidad, ya que podrían estar reduciendo los ingresos promedio sin generar beneficios claros.</t>
  </si>
  <si>
    <t>n</t>
  </si>
  <si>
    <t>Estamos 95% seguros de que el ingreso promedio verdadero se encuentra entre [LI] y [LS].</t>
  </si>
  <si>
    <t xml:space="preserve">La distribución de los tiempos de entrega presenta una forma aproximadamente normal, lo que permite aplicar modelos probabilísticos basados en esta distribucipon. </t>
  </si>
  <si>
    <t>MEDIA</t>
  </si>
  <si>
    <t>DESVIACION</t>
  </si>
  <si>
    <t>PROBABILIDAD DE ENTREGAR EN 3 DÍAS</t>
  </si>
  <si>
    <t>Se calcularon probabilidades de entrega, utilizando la distribución normal, lo que permite estimar la probabilidad de cumplimiento en distintos tiempos de entrega</t>
  </si>
  <si>
    <t>KPIs principales</t>
  </si>
  <si>
    <t>Ingresos Totales</t>
  </si>
  <si>
    <t>Satisfacción Promedio</t>
  </si>
  <si>
    <t>Transacciones</t>
  </si>
  <si>
    <t>Margen promedio</t>
  </si>
  <si>
    <t>ANÁLISIS POR REGIÓN</t>
  </si>
  <si>
    <t>Región</t>
  </si>
  <si>
    <t>Satisfacción</t>
  </si>
  <si>
    <t>Ticket Promedio</t>
  </si>
  <si>
    <t>TOP 5 PRODUCTOS POR INGRESOS</t>
  </si>
  <si>
    <t>Unidades Vendidas</t>
  </si>
  <si>
    <t>Suma de Cantidad</t>
  </si>
  <si>
    <t>ene</t>
  </si>
  <si>
    <t>feb</t>
  </si>
  <si>
    <t>mar</t>
  </si>
  <si>
    <t>01-ene</t>
  </si>
  <si>
    <t>10-ene</t>
  </si>
  <si>
    <t>12-ene</t>
  </si>
  <si>
    <t>13-ene</t>
  </si>
  <si>
    <t>16-ene</t>
  </si>
  <si>
    <t>18-ene</t>
  </si>
  <si>
    <t>20-ene</t>
  </si>
  <si>
    <t>22-ene</t>
  </si>
  <si>
    <t>27-ene</t>
  </si>
  <si>
    <t>28-ene</t>
  </si>
  <si>
    <t>30-ene</t>
  </si>
  <si>
    <t>01-feb</t>
  </si>
  <si>
    <t>02-feb</t>
  </si>
  <si>
    <t>06-feb</t>
  </si>
  <si>
    <t>09-feb</t>
  </si>
  <si>
    <t>17-feb</t>
  </si>
  <si>
    <t>23-feb</t>
  </si>
  <si>
    <t>25-feb</t>
  </si>
  <si>
    <t>26-feb</t>
  </si>
  <si>
    <t>28-feb</t>
  </si>
  <si>
    <t>05-mar</t>
  </si>
  <si>
    <t>08-mar</t>
  </si>
  <si>
    <t>11-mar</t>
  </si>
  <si>
    <t>16-mar</t>
  </si>
  <si>
    <t>19-mar</t>
  </si>
  <si>
    <t>21-mar</t>
  </si>
  <si>
    <t>22-mar</t>
  </si>
  <si>
    <t>26-mar</t>
  </si>
  <si>
    <t>Se observa una tendencia estable en los ingresos, con algunos picos en determinados días, lo que puede indicar campañas o eventos específicos.</t>
  </si>
  <si>
    <t>SITUACIÓN ACTUAL</t>
  </si>
  <si>
    <t xml:space="preserve">La empresa presenta ingresos totales por $255,529.70 con un total de 100 transacciones realizadas. </t>
  </si>
  <si>
    <t>La satisfacción promedio del cliente es de 3.99 sobre 5, lo que indica una percepción generalmente positiva del servicio.</t>
  </si>
  <si>
    <t>Se observa que la región Oeste genera los mayores ingresos promedio, seguida por la región Este, lo que sugiere diferencias en desempeño comercial entre regiones.</t>
  </si>
  <si>
    <t>Fortalezas:</t>
  </si>
  <si>
    <t>Áreas de oportunidad:</t>
  </si>
  <si>
    <t>Buen nivel de satisfacción del cliente</t>
  </si>
  <si>
    <t>Ingresos estables</t>
  </si>
  <si>
    <t>Ticket promedio consistente</t>
  </si>
  <si>
    <t>Variabilidad en desempeño entre regiones</t>
  </si>
  <si>
    <t>Oportunidad de mejorar satisfacción en ciertas zonas</t>
  </si>
  <si>
    <t>HALLAZGOS CLAVE</t>
  </si>
  <si>
    <t>El análisis de correlación muestra una relación positiva entre ingresos y cantidad vendida (0.75), lo que indica que el volumen de ventas es un factor clave en los ingresos.</t>
  </si>
  <si>
    <t>El análisis de regresión múltiple revela que la variable "Cantidad" es la más influyente en los ingresos, mientras que otras variables como satisfacción y tiempo de entrega tienen menor impacto.</t>
  </si>
  <si>
    <t>Las pruebas estadísticas (ANOVA y pruebas t) indican que no existen diferencias estadísticamente significativas entre regiones ni entre canales de venta.</t>
  </si>
  <si>
    <t>Esto sugiere que el desempeño es relativamente homogéneo a nivel general.</t>
  </si>
  <si>
    <t>RECOMENDACIONES</t>
  </si>
  <si>
    <t>Enfocar estrategias en aumentar el volumen de ventas, ya que es el principal impulsor de ingresos.</t>
  </si>
  <si>
    <t>Implementar acciones comerciales específicas en regiones con menor desempeño.</t>
  </si>
  <si>
    <t>Evaluar estrategias de precios y descuentos para maximizar Ingresos sin afectar margen.</t>
  </si>
  <si>
    <t>Mejorar la experiencia del cliente en puntos con menor satisfacción.</t>
  </si>
  <si>
    <t>PROYECCIONES Y ESCENARIOS</t>
  </si>
  <si>
    <t>Los modelos de regresión indican que un incremento en la cantidad vendida generará un aumento directo en los ingresos.</t>
  </si>
  <si>
    <t>Se recomienda monitorear continuamente las variables clave (cantidad, precio y descuentos) para optimizar resultados.</t>
  </si>
  <si>
    <t>Escenarios futuros:</t>
  </si>
  <si>
    <t>Incremento en ventas → aumento proporcional en Ingresos</t>
  </si>
  <si>
    <t>Optimización de precios → mejora en rentabilidad</t>
  </si>
  <si>
    <t>El análisis muestra que el principal driver del negocio es el volumen de ventas, más que factores como satisfacción o tiempo de entrega.</t>
  </si>
  <si>
    <t>Descuentos</t>
  </si>
  <si>
    <t>Ingreso Neto</t>
  </si>
  <si>
    <t>Descripción de los datos utilizados:</t>
  </si>
  <si>
    <t>Se analizaron datos de ventas empresariales que incluyen variables como ingresos totales, satisfacción del cliente, tiempo de entrega, precio unitario, cantidad vendida y descuentos aplicados, así como segmentación por región y canal de venta.</t>
  </si>
  <si>
    <t>Métodos estadísticos aplicados:</t>
  </si>
  <si>
    <t>Se utilizaron estadísticas descriptivas (media, mediana, desviación estándar), análisis de correlación, modelos de regresión simple y múltiple, pruebas de hipótesis (ANOVA y pruebas t), detección de valores atípicos mediante Z-Score e IQR, así como análisis de distribuciones y probabilidades.</t>
  </si>
  <si>
    <t>Supuestos y limitaciones:</t>
  </si>
  <si>
    <t>Se asume que los datos son representativos y que las relaciones entre variables son lineales. Las limitaciones incluyen posibles sesgos en los datos, tamaño de muestra limitado y la no consideración de variables externas como factores macroeconómicos.</t>
  </si>
  <si>
    <t>Interpretación de resultados:</t>
  </si>
  <si>
    <t>Los resultados permiten identificar patrones de comportamiento en ventas, relaciones entre variables clave y factores que impactan el desempeño comercial, facilitando la toma de decisiones estratégicas.</t>
  </si>
  <si>
    <r>
      <t>Media:</t>
    </r>
    <r>
      <rPr>
        <sz val="11"/>
        <color theme="1"/>
        <rFont val="Calibri"/>
        <family val="2"/>
        <scheme val="minor"/>
      </rPr>
      <t xml:space="preserve"> Promedio de los valores de un conjunto de datos.</t>
    </r>
  </si>
  <si>
    <r>
      <t>Mediana:</t>
    </r>
    <r>
      <rPr>
        <sz val="11"/>
        <color theme="1"/>
        <rFont val="Calibri"/>
        <family val="2"/>
        <scheme val="minor"/>
      </rPr>
      <t xml:space="preserve"> Valor central de un conjunto ordenado.</t>
    </r>
  </si>
  <si>
    <r>
      <t>Desviación estándar:</t>
    </r>
    <r>
      <rPr>
        <sz val="11"/>
        <color theme="1"/>
        <rFont val="Calibri"/>
        <family val="2"/>
        <scheme val="minor"/>
      </rPr>
      <t xml:space="preserve"> Mide la dispersión de los datos respecto a la media.</t>
    </r>
  </si>
  <si>
    <r>
      <t>Correlación:</t>
    </r>
    <r>
      <rPr>
        <sz val="11"/>
        <color theme="1"/>
        <rFont val="Calibri"/>
        <family val="2"/>
        <scheme val="minor"/>
      </rPr>
      <t xml:space="preserve"> Indica la relación entre dos variables.</t>
    </r>
  </si>
  <si>
    <r>
      <t>Regresión:</t>
    </r>
    <r>
      <rPr>
        <sz val="11"/>
        <color theme="1"/>
        <rFont val="Calibri"/>
        <family val="2"/>
        <scheme val="minor"/>
      </rPr>
      <t xml:space="preserve"> Modelo que permite predecir una variable en función de otras.</t>
    </r>
  </si>
  <si>
    <r>
      <t>ANOVA:</t>
    </r>
    <r>
      <rPr>
        <sz val="11"/>
        <color theme="1"/>
        <rFont val="Calibri"/>
        <family val="2"/>
        <scheme val="minor"/>
      </rPr>
      <t xml:space="preserve"> Prueba estadística para comparar medias entre varios grupos.</t>
    </r>
  </si>
  <si>
    <r>
      <t>Valor p:</t>
    </r>
    <r>
      <rPr>
        <sz val="11"/>
        <color theme="1"/>
        <rFont val="Calibri"/>
        <family val="2"/>
        <scheme val="minor"/>
      </rPr>
      <t xml:space="preserve"> Probabilidad de obtener resultados bajo la hipótesis nula.</t>
    </r>
  </si>
  <si>
    <r>
      <t>Outlier:</t>
    </r>
    <r>
      <rPr>
        <sz val="11"/>
        <color theme="1"/>
        <rFont val="Calibri"/>
        <family val="2"/>
        <scheme val="minor"/>
      </rPr>
      <t xml:space="preserve"> Valor atípico que se aleja del comportamiento general.</t>
    </r>
  </si>
  <si>
    <t>Guía de interpretación:</t>
  </si>
  <si>
    <t>Valores cercanos a 1 o -1 indican relaciones fuertes.</t>
  </si>
  <si>
    <t>Valores p menores a 0.05 indican significancia estadística.</t>
  </si>
  <si>
    <t>Los modelos predictivos permiten estimar resultados futuros con cierto nivel de confianza.</t>
  </si>
  <si>
    <t>RESUMEN EJECUTIVO</t>
  </si>
  <si>
    <t>METODOLOGÍA</t>
  </si>
  <si>
    <t>HALLAZGOS</t>
  </si>
  <si>
    <t>PRÓXIMOS PASOS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</si>
</sst>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4" formatCode="_-&quot;$&quot;* #,##0.00_-;\-&quot;$&quot;* #,##0.00_-;_-&quot;$&quot;* &quot;-&quot;??_-;_-@_-"/>
    <numFmt numFmtId="164" formatCode="yyyy\-mm\-dd\ h:mm:ss"/>
    <numFmt numFmtId="165" formatCode="0.0000"/>
    <numFmt numFmtId="166" formatCode="0.000"/>
  </numFmts>
  <fonts count="7" x14ac:knownFonts="1">
    <font>
      <sz val="11"/>
      <color theme="1"/>
      <name val="Calibri"/>
      <family val="2"/>
      <scheme val="minor"/>
    </font>
    <font>
      <b/>
      <sz val="11"/>
      <color theme="1"/>
      <name val="Calibri"/>
      <family val="2"/>
      <scheme val="minor"/>
    </font>
    <font>
      <sz val="11"/>
      <color theme="1"/>
      <name val="Calibri"/>
      <family val="2"/>
      <scheme val="minor"/>
    </font>
    <font>
      <b/>
      <sz val="11"/>
      <color theme="0"/>
      <name val="Calibri"/>
      <family val="2"/>
      <scheme val="minor"/>
    </font>
    <font>
      <i/>
      <sz val="11"/>
      <color theme="1"/>
      <name val="Calibri"/>
      <family val="2"/>
      <scheme val="minor"/>
    </font>
    <font>
      <b/>
      <sz val="11"/>
      <name val="Calibri"/>
      <family val="2"/>
      <scheme val="minor"/>
    </font>
    <font>
      <sz val="11"/>
      <color rgb="FF000000"/>
      <name val="Calibri"/>
      <family val="2"/>
    </font>
  </fonts>
  <fills count="7">
    <fill>
      <patternFill patternType="none"/>
    </fill>
    <fill>
      <patternFill patternType="gray125"/>
    </fill>
    <fill>
      <patternFill patternType="solid">
        <fgColor rgb="FF92D050"/>
        <bgColor indexed="64"/>
      </patternFill>
    </fill>
    <fill>
      <patternFill patternType="solid">
        <fgColor rgb="FF00B050"/>
        <bgColor indexed="64"/>
      </patternFill>
    </fill>
    <fill>
      <patternFill patternType="solid">
        <fgColor rgb="FFFFFF00"/>
        <bgColor indexed="64"/>
      </patternFill>
    </fill>
    <fill>
      <patternFill patternType="solid">
        <fgColor rgb="FF00B0F0"/>
        <bgColor indexed="64"/>
      </patternFill>
    </fill>
    <fill>
      <patternFill patternType="solid">
        <fgColor rgb="FFFFC000"/>
        <bgColor indexed="64"/>
      </patternFill>
    </fill>
  </fills>
  <borders count="3">
    <border>
      <left/>
      <right/>
      <top/>
      <bottom/>
      <diagonal/>
    </border>
    <border>
      <left/>
      <right/>
      <top/>
      <bottom style="medium">
        <color indexed="64"/>
      </bottom>
      <diagonal/>
    </border>
    <border>
      <left/>
      <right/>
      <top style="medium">
        <color indexed="64"/>
      </top>
      <bottom style="thin">
        <color indexed="64"/>
      </bottom>
      <diagonal/>
    </border>
  </borders>
  <cellStyleXfs count="3">
    <xf numFmtId="0" fontId="0" fillId="0" borderId="0"/>
    <xf numFmtId="44" fontId="2" fillId="0" borderId="0" applyFont="0" applyFill="0" applyBorder="0" applyAlignment="0" applyProtection="0"/>
    <xf numFmtId="9" fontId="2" fillId="0" borderId="0" applyFont="0" applyFill="0" applyBorder="0" applyAlignment="0" applyProtection="0"/>
  </cellStyleXfs>
  <cellXfs count="39">
    <xf numFmtId="0" fontId="0" fillId="0" borderId="0" xfId="0"/>
    <xf numFmtId="0" fontId="1" fillId="2" borderId="0" xfId="0" applyFont="1" applyFill="1"/>
    <xf numFmtId="164" fontId="0" fillId="0" borderId="0" xfId="0" applyNumberFormat="1"/>
    <xf numFmtId="0" fontId="0" fillId="0" borderId="0" xfId="0" applyAlignment="1">
      <alignment horizontal="center"/>
    </xf>
    <xf numFmtId="0" fontId="1" fillId="2" borderId="0" xfId="0" applyFont="1" applyFill="1" applyAlignment="1">
      <alignment horizontal="left"/>
    </xf>
    <xf numFmtId="0" fontId="0" fillId="0" borderId="0" xfId="0" applyAlignment="1">
      <alignment horizontal="left"/>
    </xf>
    <xf numFmtId="14" fontId="1" fillId="2" borderId="0" xfId="0" applyNumberFormat="1" applyFont="1" applyFill="1"/>
    <xf numFmtId="14" fontId="0" fillId="0" borderId="0" xfId="0" applyNumberFormat="1"/>
    <xf numFmtId="0" fontId="0" fillId="0" borderId="0" xfId="0" pivotButton="1"/>
    <xf numFmtId="0" fontId="0" fillId="0" borderId="0" xfId="0" applyAlignment="1">
      <alignment horizontal="left" indent="1"/>
    </xf>
    <xf numFmtId="0" fontId="0" fillId="0" borderId="0" xfId="0" applyAlignment="1">
      <alignment horizontal="left" indent="2"/>
    </xf>
    <xf numFmtId="0" fontId="1" fillId="0" borderId="0" xfId="0" applyFont="1"/>
    <xf numFmtId="0" fontId="3" fillId="3" borderId="0" xfId="0" applyFont="1" applyFill="1" applyAlignment="1">
      <alignment horizontal="left"/>
    </xf>
    <xf numFmtId="0" fontId="3" fillId="3" borderId="0" xfId="0" applyFont="1" applyFill="1" applyAlignment="1">
      <alignment horizontal="center"/>
    </xf>
    <xf numFmtId="166" fontId="0" fillId="0" borderId="0" xfId="0" applyNumberFormat="1"/>
    <xf numFmtId="2" fontId="0" fillId="0" borderId="0" xfId="0" applyNumberFormat="1"/>
    <xf numFmtId="2" fontId="0" fillId="0" borderId="0" xfId="0" applyNumberFormat="1" applyAlignment="1">
      <alignment horizontal="center"/>
    </xf>
    <xf numFmtId="166" fontId="0" fillId="0" borderId="0" xfId="0" applyNumberFormat="1" applyAlignment="1">
      <alignment horizontal="center"/>
    </xf>
    <xf numFmtId="1" fontId="0" fillId="0" borderId="0" xfId="0" applyNumberFormat="1" applyAlignment="1">
      <alignment horizontal="center"/>
    </xf>
    <xf numFmtId="0" fontId="0" fillId="3" borderId="0" xfId="0" applyFill="1"/>
    <xf numFmtId="0" fontId="3" fillId="3" borderId="0" xfId="0" applyFont="1" applyFill="1"/>
    <xf numFmtId="0" fontId="5" fillId="3" borderId="0" xfId="0" applyFont="1" applyFill="1" applyAlignment="1">
      <alignment horizontal="center"/>
    </xf>
    <xf numFmtId="0" fontId="5" fillId="3" borderId="0" xfId="0" applyFont="1" applyFill="1"/>
    <xf numFmtId="0" fontId="0" fillId="0" borderId="1" xfId="0" applyBorder="1"/>
    <xf numFmtId="0" fontId="4" fillId="0" borderId="2" xfId="0" applyFont="1" applyBorder="1" applyAlignment="1">
      <alignment horizontal="center"/>
    </xf>
    <xf numFmtId="0" fontId="4" fillId="0" borderId="2" xfId="0" applyFont="1" applyBorder="1" applyAlignment="1">
      <alignment horizontal="centerContinuous"/>
    </xf>
    <xf numFmtId="165" fontId="0" fillId="0" borderId="0" xfId="0" applyNumberFormat="1"/>
    <xf numFmtId="0" fontId="0" fillId="4" borderId="0" xfId="0" applyFill="1"/>
    <xf numFmtId="0" fontId="0" fillId="4" borderId="1" xfId="0" applyFill="1" applyBorder="1"/>
    <xf numFmtId="165" fontId="0" fillId="4" borderId="0" xfId="0" applyNumberFormat="1" applyFill="1"/>
    <xf numFmtId="0" fontId="1" fillId="5" borderId="0" xfId="0" applyFont="1" applyFill="1"/>
    <xf numFmtId="0" fontId="1" fillId="5" borderId="0" xfId="0" applyFont="1" applyFill="1" applyAlignment="1">
      <alignment horizontal="center"/>
    </xf>
    <xf numFmtId="9" fontId="0" fillId="0" borderId="0" xfId="2" applyFont="1"/>
    <xf numFmtId="10" fontId="0" fillId="0" borderId="0" xfId="2" applyNumberFormat="1" applyFont="1"/>
    <xf numFmtId="44" fontId="0" fillId="0" borderId="0" xfId="1" applyFont="1"/>
    <xf numFmtId="44" fontId="0" fillId="0" borderId="0" xfId="0" applyNumberFormat="1"/>
    <xf numFmtId="0" fontId="1" fillId="6" borderId="0" xfId="0" applyFont="1" applyFill="1"/>
    <xf numFmtId="0" fontId="1" fillId="2" borderId="0" xfId="0" applyFont="1" applyFill="1" applyAlignment="1">
      <alignment horizontal="center"/>
    </xf>
    <xf numFmtId="0" fontId="1" fillId="3" borderId="0" xfId="0" applyFont="1" applyFill="1"/>
  </cellXfs>
  <cellStyles count="3">
    <cellStyle name="Moneda" xfId="1" builtinId="4"/>
    <cellStyle name="Normal" xfId="0" builtinId="0"/>
    <cellStyle name="Porcentaje" xfId="2" builtinId="5"/>
  </cellStyles>
  <dxfs count="5">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strike val="0"/>
        <condense val="0"/>
        <extend val="0"/>
        <outline val="0"/>
        <shadow val="0"/>
        <u val="none"/>
        <vertAlign val="baseline"/>
        <sz val="11"/>
        <color theme="1"/>
        <name val="Calibri"/>
        <family val="2"/>
        <scheme val="minor"/>
      </font>
      <fill>
        <patternFill patternType="solid">
          <fgColor indexed="64"/>
          <bgColor rgb="FF92D05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1.xml"/><Relationship Id="rId26" Type="http://schemas.openxmlformats.org/officeDocument/2006/relationships/calcChain" Target="calcChain.xml"/><Relationship Id="rId3" Type="http://schemas.openxmlformats.org/officeDocument/2006/relationships/worksheet" Target="worksheets/sheet3.xml"/><Relationship Id="rId21" Type="http://schemas.microsoft.com/office/2007/relationships/slicerCache" Target="slicerCaches/slicerCache4.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pivotCacheDefinition" Target="pivotCache/pivotCacheDefinition2.xml"/><Relationship Id="rId25"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pivotCacheDefinition" Target="pivotCache/pivotCacheDefinition1.xml"/><Relationship Id="rId20" Type="http://schemas.microsoft.com/office/2007/relationships/slicerCache" Target="slicerCaches/slicerCache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10" Type="http://schemas.openxmlformats.org/officeDocument/2006/relationships/worksheet" Target="worksheets/sheet10.xml"/><Relationship Id="rId19" Type="http://schemas.microsoft.com/office/2007/relationships/slicerCache" Target="slicerCaches/slicerCache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2.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3.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4.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5.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6.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Ex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Ex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Ex4.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MX"/>
              <a:t>Media</a:t>
            </a:r>
            <a:r>
              <a:rPr lang="es-MX" baseline="0"/>
              <a:t> de ingreso por región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MX"/>
        </a:p>
      </c:txPr>
    </c:title>
    <c:autoTitleDeleted val="0"/>
    <c:plotArea>
      <c:layout/>
      <c:barChart>
        <c:barDir val="col"/>
        <c:grouping val="clustered"/>
        <c:varyColors val="0"/>
        <c:ser>
          <c:idx val="0"/>
          <c:order val="0"/>
          <c:tx>
            <c:strRef>
              <c:f>Estadisticas_Descriptivas!$A$2</c:f>
              <c:strCache>
                <c:ptCount val="1"/>
                <c:pt idx="0">
                  <c:v>Norte</c:v>
                </c:pt>
              </c:strCache>
            </c:strRef>
          </c:tx>
          <c:spPr>
            <a:solidFill>
              <a:schemeClr val="accent1"/>
            </a:solidFill>
            <a:ln>
              <a:noFill/>
            </a:ln>
            <a:effectLst/>
          </c:spPr>
          <c:invertIfNegative val="0"/>
          <c:cat>
            <c:strRef>
              <c:f>Estadisticas_Descriptivas!$C$1</c:f>
              <c:strCache>
                <c:ptCount val="1"/>
                <c:pt idx="0">
                  <c:v>Media_Ingresos</c:v>
                </c:pt>
              </c:strCache>
            </c:strRef>
          </c:cat>
          <c:val>
            <c:numRef>
              <c:f>Estadisticas_Descriptivas!$C$2</c:f>
              <c:numCache>
                <c:formatCode>0.00</c:formatCode>
                <c:ptCount val="1"/>
                <c:pt idx="0">
                  <c:v>2464.8076923076919</c:v>
                </c:pt>
              </c:numCache>
            </c:numRef>
          </c:val>
          <c:extLst>
            <c:ext xmlns:c16="http://schemas.microsoft.com/office/drawing/2014/chart" uri="{C3380CC4-5D6E-409C-BE32-E72D297353CC}">
              <c16:uniqueId val="{00000000-80F3-4BC3-8DA2-959CCE3D4F3F}"/>
            </c:ext>
          </c:extLst>
        </c:ser>
        <c:ser>
          <c:idx val="1"/>
          <c:order val="1"/>
          <c:tx>
            <c:strRef>
              <c:f>Estadisticas_Descriptivas!$A$3</c:f>
              <c:strCache>
                <c:ptCount val="1"/>
                <c:pt idx="0">
                  <c:v>Sur</c:v>
                </c:pt>
              </c:strCache>
            </c:strRef>
          </c:tx>
          <c:spPr>
            <a:solidFill>
              <a:schemeClr val="accent2"/>
            </a:solidFill>
            <a:ln>
              <a:noFill/>
            </a:ln>
            <a:effectLst/>
          </c:spPr>
          <c:invertIfNegative val="0"/>
          <c:cat>
            <c:strRef>
              <c:f>Estadisticas_Descriptivas!$C$1</c:f>
              <c:strCache>
                <c:ptCount val="1"/>
                <c:pt idx="0">
                  <c:v>Media_Ingresos</c:v>
                </c:pt>
              </c:strCache>
            </c:strRef>
          </c:cat>
          <c:val>
            <c:numRef>
              <c:f>Estadisticas_Descriptivas!$C$3</c:f>
              <c:numCache>
                <c:formatCode>0.00</c:formatCode>
                <c:ptCount val="1"/>
                <c:pt idx="0">
                  <c:v>2430.9375000000005</c:v>
                </c:pt>
              </c:numCache>
            </c:numRef>
          </c:val>
          <c:extLst>
            <c:ext xmlns:c16="http://schemas.microsoft.com/office/drawing/2014/chart" uri="{C3380CC4-5D6E-409C-BE32-E72D297353CC}">
              <c16:uniqueId val="{00000001-80F3-4BC3-8DA2-959CCE3D4F3F}"/>
            </c:ext>
          </c:extLst>
        </c:ser>
        <c:ser>
          <c:idx val="2"/>
          <c:order val="2"/>
          <c:tx>
            <c:strRef>
              <c:f>Estadisticas_Descriptivas!$A$4</c:f>
              <c:strCache>
                <c:ptCount val="1"/>
                <c:pt idx="0">
                  <c:v>Este</c:v>
                </c:pt>
              </c:strCache>
            </c:strRef>
          </c:tx>
          <c:spPr>
            <a:solidFill>
              <a:schemeClr val="accent3"/>
            </a:solidFill>
            <a:ln>
              <a:noFill/>
            </a:ln>
            <a:effectLst/>
          </c:spPr>
          <c:invertIfNegative val="0"/>
          <c:cat>
            <c:strRef>
              <c:f>Estadisticas_Descriptivas!$C$1</c:f>
              <c:strCache>
                <c:ptCount val="1"/>
                <c:pt idx="0">
                  <c:v>Media_Ingresos</c:v>
                </c:pt>
              </c:strCache>
            </c:strRef>
          </c:cat>
          <c:val>
            <c:numRef>
              <c:f>Estadisticas_Descriptivas!$C$4</c:f>
              <c:numCache>
                <c:formatCode>0.00</c:formatCode>
                <c:ptCount val="1"/>
                <c:pt idx="0">
                  <c:v>2615.6613636363636</c:v>
                </c:pt>
              </c:numCache>
            </c:numRef>
          </c:val>
          <c:extLst>
            <c:ext xmlns:c16="http://schemas.microsoft.com/office/drawing/2014/chart" uri="{C3380CC4-5D6E-409C-BE32-E72D297353CC}">
              <c16:uniqueId val="{00000002-80F3-4BC3-8DA2-959CCE3D4F3F}"/>
            </c:ext>
          </c:extLst>
        </c:ser>
        <c:ser>
          <c:idx val="3"/>
          <c:order val="3"/>
          <c:tx>
            <c:strRef>
              <c:f>Estadisticas_Descriptivas!$A$5</c:f>
              <c:strCache>
                <c:ptCount val="1"/>
                <c:pt idx="0">
                  <c:v>Oeste</c:v>
                </c:pt>
              </c:strCache>
            </c:strRef>
          </c:tx>
          <c:spPr>
            <a:solidFill>
              <a:schemeClr val="accent4"/>
            </a:solidFill>
            <a:ln>
              <a:noFill/>
            </a:ln>
            <a:effectLst/>
          </c:spPr>
          <c:invertIfNegative val="0"/>
          <c:cat>
            <c:strRef>
              <c:f>Estadisticas_Descriptivas!$C$1</c:f>
              <c:strCache>
                <c:ptCount val="1"/>
                <c:pt idx="0">
                  <c:v>Media_Ingresos</c:v>
                </c:pt>
              </c:strCache>
            </c:strRef>
          </c:cat>
          <c:val>
            <c:numRef>
              <c:f>Estadisticas_Descriptivas!$C$5</c:f>
              <c:numCache>
                <c:formatCode>0.00</c:formatCode>
                <c:ptCount val="1"/>
                <c:pt idx="0">
                  <c:v>2698.4874999999997</c:v>
                </c:pt>
              </c:numCache>
            </c:numRef>
          </c:val>
          <c:extLst>
            <c:ext xmlns:c16="http://schemas.microsoft.com/office/drawing/2014/chart" uri="{C3380CC4-5D6E-409C-BE32-E72D297353CC}">
              <c16:uniqueId val="{00000003-80F3-4BC3-8DA2-959CCE3D4F3F}"/>
            </c:ext>
          </c:extLst>
        </c:ser>
        <c:dLbls>
          <c:showLegendKey val="0"/>
          <c:showVal val="0"/>
          <c:showCatName val="0"/>
          <c:showSerName val="0"/>
          <c:showPercent val="0"/>
          <c:showBubbleSize val="0"/>
        </c:dLbls>
        <c:gapWidth val="219"/>
        <c:overlap val="-27"/>
        <c:axId val="415672576"/>
        <c:axId val="415671616"/>
      </c:barChart>
      <c:catAx>
        <c:axId val="4156725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crossAx val="415671616"/>
        <c:crosses val="autoZero"/>
        <c:auto val="1"/>
        <c:lblAlgn val="ctr"/>
        <c:lblOffset val="100"/>
        <c:noMultiLvlLbl val="0"/>
      </c:catAx>
      <c:valAx>
        <c:axId val="415671616"/>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crossAx val="41567257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MX"/>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MX"/>
              <a:t>Tendencia ingresos</a:t>
            </a:r>
            <a:r>
              <a:rPr lang="es-MX" baseline="0"/>
              <a:t> por día</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MX"/>
        </a:p>
      </c:txPr>
    </c:title>
    <c:autoTitleDeleted val="0"/>
    <c:plotArea>
      <c:layout/>
      <c:lineChart>
        <c:grouping val="standard"/>
        <c:varyColors val="0"/>
        <c:ser>
          <c:idx val="0"/>
          <c:order val="0"/>
          <c:tx>
            <c:strRef>
              <c:f>Datos_Ventas_Completos!$J$1</c:f>
              <c:strCache>
                <c:ptCount val="1"/>
                <c:pt idx="0">
                  <c:v>Ingresos_Totales</c:v>
                </c:pt>
              </c:strCache>
            </c:strRef>
          </c:tx>
          <c:spPr>
            <a:ln w="28575" cap="rnd">
              <a:solidFill>
                <a:schemeClr val="accent1"/>
              </a:solidFill>
              <a:round/>
            </a:ln>
            <a:effectLst/>
          </c:spPr>
          <c:marker>
            <c:symbol val="none"/>
          </c:marker>
          <c:cat>
            <c:numRef>
              <c:f>Datos_Ventas_Completos!$B$2:$B$101</c:f>
              <c:numCache>
                <c:formatCode>m/d/yyyy</c:formatCode>
                <c:ptCount val="100"/>
                <c:pt idx="0">
                  <c:v>45373</c:v>
                </c:pt>
                <c:pt idx="1">
                  <c:v>45346</c:v>
                </c:pt>
                <c:pt idx="2">
                  <c:v>45345</c:v>
                </c:pt>
                <c:pt idx="3">
                  <c:v>45305</c:v>
                </c:pt>
                <c:pt idx="4">
                  <c:v>45362</c:v>
                </c:pt>
                <c:pt idx="5">
                  <c:v>45304</c:v>
                </c:pt>
                <c:pt idx="6">
                  <c:v>45301</c:v>
                </c:pt>
                <c:pt idx="7">
                  <c:v>45379</c:v>
                </c:pt>
                <c:pt idx="8">
                  <c:v>45319</c:v>
                </c:pt>
                <c:pt idx="9">
                  <c:v>45346</c:v>
                </c:pt>
                <c:pt idx="10">
                  <c:v>45368</c:v>
                </c:pt>
                <c:pt idx="11">
                  <c:v>45374</c:v>
                </c:pt>
                <c:pt idx="12">
                  <c:v>45372</c:v>
                </c:pt>
                <c:pt idx="13">
                  <c:v>45368</c:v>
                </c:pt>
                <c:pt idx="14">
                  <c:v>45354</c:v>
                </c:pt>
                <c:pt idx="15">
                  <c:v>45380</c:v>
                </c:pt>
                <c:pt idx="16">
                  <c:v>45367</c:v>
                </c:pt>
                <c:pt idx="17">
                  <c:v>45322</c:v>
                </c:pt>
                <c:pt idx="18">
                  <c:v>45304</c:v>
                </c:pt>
                <c:pt idx="19">
                  <c:v>45343</c:v>
                </c:pt>
                <c:pt idx="20">
                  <c:v>45348</c:v>
                </c:pt>
                <c:pt idx="21">
                  <c:v>45299</c:v>
                </c:pt>
                <c:pt idx="22">
                  <c:v>45376</c:v>
                </c:pt>
                <c:pt idx="23">
                  <c:v>45356</c:v>
                </c:pt>
                <c:pt idx="24">
                  <c:v>45323</c:v>
                </c:pt>
                <c:pt idx="25">
                  <c:v>45330</c:v>
                </c:pt>
                <c:pt idx="26">
                  <c:v>45300</c:v>
                </c:pt>
                <c:pt idx="27">
                  <c:v>45309</c:v>
                </c:pt>
                <c:pt idx="28">
                  <c:v>45356</c:v>
                </c:pt>
                <c:pt idx="29">
                  <c:v>45348</c:v>
                </c:pt>
                <c:pt idx="30">
                  <c:v>45308</c:v>
                </c:pt>
                <c:pt idx="31">
                  <c:v>45371</c:v>
                </c:pt>
                <c:pt idx="32">
                  <c:v>45323</c:v>
                </c:pt>
                <c:pt idx="33">
                  <c:v>45321</c:v>
                </c:pt>
                <c:pt idx="34">
                  <c:v>45343</c:v>
                </c:pt>
                <c:pt idx="35">
                  <c:v>45347</c:v>
                </c:pt>
                <c:pt idx="36">
                  <c:v>45377</c:v>
                </c:pt>
                <c:pt idx="37">
                  <c:v>45381</c:v>
                </c:pt>
                <c:pt idx="38">
                  <c:v>45318</c:v>
                </c:pt>
                <c:pt idx="39">
                  <c:v>45313</c:v>
                </c:pt>
                <c:pt idx="40">
                  <c:v>45323</c:v>
                </c:pt>
                <c:pt idx="41">
                  <c:v>45292</c:v>
                </c:pt>
                <c:pt idx="42">
                  <c:v>45377</c:v>
                </c:pt>
                <c:pt idx="43">
                  <c:v>45373</c:v>
                </c:pt>
                <c:pt idx="44">
                  <c:v>45361</c:v>
                </c:pt>
                <c:pt idx="45">
                  <c:v>45299</c:v>
                </c:pt>
                <c:pt idx="46">
                  <c:v>45345</c:v>
                </c:pt>
                <c:pt idx="47">
                  <c:v>45313</c:v>
                </c:pt>
                <c:pt idx="48">
                  <c:v>45315</c:v>
                </c:pt>
                <c:pt idx="49">
                  <c:v>45324</c:v>
                </c:pt>
                <c:pt idx="50">
                  <c:v>45323</c:v>
                </c:pt>
                <c:pt idx="51">
                  <c:v>45339</c:v>
                </c:pt>
                <c:pt idx="52">
                  <c:v>45340</c:v>
                </c:pt>
                <c:pt idx="53">
                  <c:v>45360</c:v>
                </c:pt>
                <c:pt idx="54">
                  <c:v>45311</c:v>
                </c:pt>
                <c:pt idx="55">
                  <c:v>45323</c:v>
                </c:pt>
                <c:pt idx="56">
                  <c:v>45354</c:v>
                </c:pt>
                <c:pt idx="57">
                  <c:v>45344</c:v>
                </c:pt>
                <c:pt idx="58">
                  <c:v>45331</c:v>
                </c:pt>
                <c:pt idx="59">
                  <c:v>45321</c:v>
                </c:pt>
                <c:pt idx="60">
                  <c:v>45359</c:v>
                </c:pt>
                <c:pt idx="61">
                  <c:v>45298</c:v>
                </c:pt>
                <c:pt idx="62">
                  <c:v>45324</c:v>
                </c:pt>
                <c:pt idx="63">
                  <c:v>45323</c:v>
                </c:pt>
                <c:pt idx="64">
                  <c:v>45331</c:v>
                </c:pt>
                <c:pt idx="65">
                  <c:v>45292</c:v>
                </c:pt>
                <c:pt idx="66">
                  <c:v>45301</c:v>
                </c:pt>
                <c:pt idx="67">
                  <c:v>45301</c:v>
                </c:pt>
                <c:pt idx="68">
                  <c:v>45361</c:v>
                </c:pt>
                <c:pt idx="69">
                  <c:v>45367</c:v>
                </c:pt>
                <c:pt idx="70">
                  <c:v>45373</c:v>
                </c:pt>
                <c:pt idx="71">
                  <c:v>45328</c:v>
                </c:pt>
                <c:pt idx="72">
                  <c:v>45292</c:v>
                </c:pt>
                <c:pt idx="73">
                  <c:v>45381</c:v>
                </c:pt>
                <c:pt idx="74">
                  <c:v>45351</c:v>
                </c:pt>
                <c:pt idx="75">
                  <c:v>45362</c:v>
                </c:pt>
                <c:pt idx="76">
                  <c:v>45328</c:v>
                </c:pt>
                <c:pt idx="77">
                  <c:v>45350</c:v>
                </c:pt>
                <c:pt idx="78">
                  <c:v>45341</c:v>
                </c:pt>
                <c:pt idx="79">
                  <c:v>45344</c:v>
                </c:pt>
                <c:pt idx="80">
                  <c:v>45372</c:v>
                </c:pt>
                <c:pt idx="81">
                  <c:v>45304</c:v>
                </c:pt>
                <c:pt idx="82">
                  <c:v>45359</c:v>
                </c:pt>
                <c:pt idx="83">
                  <c:v>45321</c:v>
                </c:pt>
                <c:pt idx="84">
                  <c:v>45367</c:v>
                </c:pt>
                <c:pt idx="85">
                  <c:v>45340</c:v>
                </c:pt>
                <c:pt idx="86">
                  <c:v>45298</c:v>
                </c:pt>
                <c:pt idx="87">
                  <c:v>45309</c:v>
                </c:pt>
                <c:pt idx="88">
                  <c:v>45345</c:v>
                </c:pt>
                <c:pt idx="89">
                  <c:v>45329</c:v>
                </c:pt>
                <c:pt idx="90">
                  <c:v>45307</c:v>
                </c:pt>
                <c:pt idx="91">
                  <c:v>45363</c:v>
                </c:pt>
                <c:pt idx="92">
                  <c:v>45355</c:v>
                </c:pt>
                <c:pt idx="93">
                  <c:v>45367</c:v>
                </c:pt>
                <c:pt idx="94">
                  <c:v>45338</c:v>
                </c:pt>
                <c:pt idx="95">
                  <c:v>45303</c:v>
                </c:pt>
                <c:pt idx="96">
                  <c:v>45362</c:v>
                </c:pt>
                <c:pt idx="97">
                  <c:v>45324</c:v>
                </c:pt>
                <c:pt idx="98">
                  <c:v>45308</c:v>
                </c:pt>
                <c:pt idx="99">
                  <c:v>45370</c:v>
                </c:pt>
              </c:numCache>
            </c:numRef>
          </c:cat>
          <c:val>
            <c:numRef>
              <c:f>Datos_Ventas_Completos!$J$2:$J$101</c:f>
              <c:numCache>
                <c:formatCode>General</c:formatCode>
                <c:ptCount val="100"/>
                <c:pt idx="0">
                  <c:v>1056</c:v>
                </c:pt>
                <c:pt idx="1">
                  <c:v>6585</c:v>
                </c:pt>
                <c:pt idx="2">
                  <c:v>1666.8</c:v>
                </c:pt>
                <c:pt idx="3">
                  <c:v>909.5</c:v>
                </c:pt>
                <c:pt idx="4">
                  <c:v>352.45</c:v>
                </c:pt>
                <c:pt idx="5">
                  <c:v>2068.1999999999998</c:v>
                </c:pt>
                <c:pt idx="6">
                  <c:v>2782.8</c:v>
                </c:pt>
                <c:pt idx="7">
                  <c:v>3630</c:v>
                </c:pt>
                <c:pt idx="8">
                  <c:v>1084.9000000000001</c:v>
                </c:pt>
                <c:pt idx="9">
                  <c:v>893</c:v>
                </c:pt>
                <c:pt idx="10">
                  <c:v>3423</c:v>
                </c:pt>
                <c:pt idx="11">
                  <c:v>957.6</c:v>
                </c:pt>
                <c:pt idx="12">
                  <c:v>1299.5999999999999</c:v>
                </c:pt>
                <c:pt idx="13">
                  <c:v>2228</c:v>
                </c:pt>
                <c:pt idx="14">
                  <c:v>2451.6</c:v>
                </c:pt>
                <c:pt idx="15">
                  <c:v>4454</c:v>
                </c:pt>
                <c:pt idx="16">
                  <c:v>1720</c:v>
                </c:pt>
                <c:pt idx="17">
                  <c:v>5032</c:v>
                </c:pt>
                <c:pt idx="18">
                  <c:v>4080</c:v>
                </c:pt>
                <c:pt idx="19">
                  <c:v>5126.2</c:v>
                </c:pt>
                <c:pt idx="20">
                  <c:v>750.5</c:v>
                </c:pt>
                <c:pt idx="21">
                  <c:v>3225.75</c:v>
                </c:pt>
                <c:pt idx="22">
                  <c:v>4295</c:v>
                </c:pt>
                <c:pt idx="23">
                  <c:v>1850</c:v>
                </c:pt>
                <c:pt idx="24">
                  <c:v>1920.6</c:v>
                </c:pt>
                <c:pt idx="25">
                  <c:v>1376</c:v>
                </c:pt>
                <c:pt idx="26">
                  <c:v>3468</c:v>
                </c:pt>
                <c:pt idx="27">
                  <c:v>3072.3</c:v>
                </c:pt>
                <c:pt idx="28">
                  <c:v>1083</c:v>
                </c:pt>
                <c:pt idx="29">
                  <c:v>4760</c:v>
                </c:pt>
                <c:pt idx="30">
                  <c:v>1630</c:v>
                </c:pt>
                <c:pt idx="31">
                  <c:v>1485</c:v>
                </c:pt>
                <c:pt idx="32">
                  <c:v>1288.2</c:v>
                </c:pt>
                <c:pt idx="33">
                  <c:v>1908</c:v>
                </c:pt>
                <c:pt idx="34">
                  <c:v>4182</c:v>
                </c:pt>
                <c:pt idx="35">
                  <c:v>1380</c:v>
                </c:pt>
                <c:pt idx="36">
                  <c:v>828.9</c:v>
                </c:pt>
                <c:pt idx="37">
                  <c:v>2138.4</c:v>
                </c:pt>
                <c:pt idx="38">
                  <c:v>2638.4</c:v>
                </c:pt>
                <c:pt idx="39">
                  <c:v>711</c:v>
                </c:pt>
                <c:pt idx="40">
                  <c:v>2361.3000000000002</c:v>
                </c:pt>
                <c:pt idx="41">
                  <c:v>4042.25</c:v>
                </c:pt>
                <c:pt idx="42">
                  <c:v>3271.8</c:v>
                </c:pt>
                <c:pt idx="43">
                  <c:v>3524</c:v>
                </c:pt>
                <c:pt idx="44">
                  <c:v>1912</c:v>
                </c:pt>
                <c:pt idx="45">
                  <c:v>4042.6</c:v>
                </c:pt>
                <c:pt idx="46">
                  <c:v>1102.45</c:v>
                </c:pt>
                <c:pt idx="47">
                  <c:v>3515</c:v>
                </c:pt>
                <c:pt idx="48">
                  <c:v>2875.5</c:v>
                </c:pt>
                <c:pt idx="49">
                  <c:v>2316</c:v>
                </c:pt>
                <c:pt idx="50">
                  <c:v>1716</c:v>
                </c:pt>
                <c:pt idx="51">
                  <c:v>1401</c:v>
                </c:pt>
                <c:pt idx="52">
                  <c:v>2712</c:v>
                </c:pt>
                <c:pt idx="53">
                  <c:v>2080.8000000000002</c:v>
                </c:pt>
                <c:pt idx="54">
                  <c:v>2893.4</c:v>
                </c:pt>
                <c:pt idx="55">
                  <c:v>5027.75</c:v>
                </c:pt>
                <c:pt idx="56">
                  <c:v>4410</c:v>
                </c:pt>
                <c:pt idx="57">
                  <c:v>5208</c:v>
                </c:pt>
                <c:pt idx="58">
                  <c:v>3307.5</c:v>
                </c:pt>
                <c:pt idx="59">
                  <c:v>2561.1999999999998</c:v>
                </c:pt>
                <c:pt idx="60">
                  <c:v>2104.1999999999998</c:v>
                </c:pt>
                <c:pt idx="61">
                  <c:v>814.5</c:v>
                </c:pt>
                <c:pt idx="62">
                  <c:v>4375</c:v>
                </c:pt>
                <c:pt idx="63">
                  <c:v>3859</c:v>
                </c:pt>
                <c:pt idx="64">
                  <c:v>1548</c:v>
                </c:pt>
                <c:pt idx="65">
                  <c:v>568.1</c:v>
                </c:pt>
                <c:pt idx="66">
                  <c:v>698.25</c:v>
                </c:pt>
                <c:pt idx="67">
                  <c:v>891.65</c:v>
                </c:pt>
                <c:pt idx="68">
                  <c:v>3353.4</c:v>
                </c:pt>
                <c:pt idx="69">
                  <c:v>2648.6</c:v>
                </c:pt>
                <c:pt idx="70">
                  <c:v>2823</c:v>
                </c:pt>
                <c:pt idx="71">
                  <c:v>3029.4</c:v>
                </c:pt>
                <c:pt idx="72">
                  <c:v>5240</c:v>
                </c:pt>
                <c:pt idx="73">
                  <c:v>2886</c:v>
                </c:pt>
                <c:pt idx="74">
                  <c:v>3368.55</c:v>
                </c:pt>
                <c:pt idx="75">
                  <c:v>2221.0500000000002</c:v>
                </c:pt>
                <c:pt idx="76">
                  <c:v>1536.8</c:v>
                </c:pt>
                <c:pt idx="77">
                  <c:v>2156</c:v>
                </c:pt>
                <c:pt idx="78">
                  <c:v>3608</c:v>
                </c:pt>
                <c:pt idx="79">
                  <c:v>906.3</c:v>
                </c:pt>
                <c:pt idx="80">
                  <c:v>2964</c:v>
                </c:pt>
                <c:pt idx="81">
                  <c:v>1041</c:v>
                </c:pt>
                <c:pt idx="82">
                  <c:v>407.15</c:v>
                </c:pt>
                <c:pt idx="83">
                  <c:v>2192.4</c:v>
                </c:pt>
                <c:pt idx="84">
                  <c:v>3040.95</c:v>
                </c:pt>
                <c:pt idx="85">
                  <c:v>2239.1999999999998</c:v>
                </c:pt>
                <c:pt idx="86">
                  <c:v>1843.2</c:v>
                </c:pt>
                <c:pt idx="87">
                  <c:v>675.9</c:v>
                </c:pt>
                <c:pt idx="88">
                  <c:v>6043.5</c:v>
                </c:pt>
                <c:pt idx="89">
                  <c:v>2991.6</c:v>
                </c:pt>
                <c:pt idx="90">
                  <c:v>3232.8</c:v>
                </c:pt>
                <c:pt idx="91">
                  <c:v>3251.25</c:v>
                </c:pt>
                <c:pt idx="92">
                  <c:v>4309.2</c:v>
                </c:pt>
                <c:pt idx="93">
                  <c:v>2151</c:v>
                </c:pt>
                <c:pt idx="94">
                  <c:v>2383.1999999999998</c:v>
                </c:pt>
                <c:pt idx="95">
                  <c:v>1000.35</c:v>
                </c:pt>
                <c:pt idx="96">
                  <c:v>4755</c:v>
                </c:pt>
                <c:pt idx="97">
                  <c:v>897.75</c:v>
                </c:pt>
                <c:pt idx="98">
                  <c:v>4633.2</c:v>
                </c:pt>
                <c:pt idx="99">
                  <c:v>769</c:v>
                </c:pt>
              </c:numCache>
            </c:numRef>
          </c:val>
          <c:smooth val="0"/>
          <c:extLst>
            <c:ext xmlns:c16="http://schemas.microsoft.com/office/drawing/2014/chart" uri="{C3380CC4-5D6E-409C-BE32-E72D297353CC}">
              <c16:uniqueId val="{00000000-BD7A-4F1F-98AE-3032B9EFEA7C}"/>
            </c:ext>
          </c:extLst>
        </c:ser>
        <c:dLbls>
          <c:showLegendKey val="0"/>
          <c:showVal val="0"/>
          <c:showCatName val="0"/>
          <c:showSerName val="0"/>
          <c:showPercent val="0"/>
          <c:showBubbleSize val="0"/>
        </c:dLbls>
        <c:smooth val="0"/>
        <c:axId val="1902908432"/>
        <c:axId val="1902911792"/>
      </c:lineChart>
      <c:dateAx>
        <c:axId val="1902908432"/>
        <c:scaling>
          <c:orientation val="minMax"/>
        </c:scaling>
        <c:delete val="0"/>
        <c:axPos val="b"/>
        <c:numFmt formatCode="m/d/yy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crossAx val="1902911792"/>
        <c:crosses val="autoZero"/>
        <c:auto val="1"/>
        <c:lblOffset val="100"/>
        <c:baseTimeUnit val="days"/>
      </c:dateAx>
      <c:valAx>
        <c:axId val="19029117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crossAx val="190290843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MX"/>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MX"/>
        </a:p>
      </c:txPr>
    </c:title>
    <c:autoTitleDeleted val="0"/>
    <c:plotArea>
      <c:layout/>
      <c:barChart>
        <c:barDir val="col"/>
        <c:grouping val="clustered"/>
        <c:varyColors val="0"/>
        <c:ser>
          <c:idx val="0"/>
          <c:order val="0"/>
          <c:tx>
            <c:strRef>
              <c:f>Dashboard_Ejecutivo!$B$24</c:f>
              <c:strCache>
                <c:ptCount val="1"/>
                <c:pt idx="0">
                  <c:v>Media</c:v>
                </c:pt>
              </c:strCache>
            </c:strRef>
          </c:tx>
          <c:spPr>
            <a:solidFill>
              <a:schemeClr val="accent1"/>
            </a:solidFill>
            <a:ln>
              <a:noFill/>
            </a:ln>
            <a:effectLst/>
          </c:spPr>
          <c:invertIfNegative val="0"/>
          <c:cat>
            <c:strRef>
              <c:f>Dashboard_Ejecutivo!$A$25:$A$28</c:f>
              <c:strCache>
                <c:ptCount val="4"/>
                <c:pt idx="0">
                  <c:v>Norte</c:v>
                </c:pt>
                <c:pt idx="1">
                  <c:v>Sur</c:v>
                </c:pt>
                <c:pt idx="2">
                  <c:v>Este</c:v>
                </c:pt>
                <c:pt idx="3">
                  <c:v>Oeste</c:v>
                </c:pt>
              </c:strCache>
            </c:strRef>
          </c:cat>
          <c:val>
            <c:numRef>
              <c:f>Dashboard_Ejecutivo!$B$25:$B$28</c:f>
              <c:numCache>
                <c:formatCode>General</c:formatCode>
                <c:ptCount val="4"/>
                <c:pt idx="0">
                  <c:v>2464.8076923076919</c:v>
                </c:pt>
                <c:pt idx="1">
                  <c:v>2430.9375000000005</c:v>
                </c:pt>
                <c:pt idx="2">
                  <c:v>2615.6613636363636</c:v>
                </c:pt>
                <c:pt idx="3">
                  <c:v>2698.4874999999997</c:v>
                </c:pt>
              </c:numCache>
            </c:numRef>
          </c:val>
          <c:extLst>
            <c:ext xmlns:c16="http://schemas.microsoft.com/office/drawing/2014/chart" uri="{C3380CC4-5D6E-409C-BE32-E72D297353CC}">
              <c16:uniqueId val="{00000000-3FEF-43E4-BA57-95F8E8FD3259}"/>
            </c:ext>
          </c:extLst>
        </c:ser>
        <c:ser>
          <c:idx val="1"/>
          <c:order val="1"/>
          <c:tx>
            <c:strRef>
              <c:f>Dashboard_Ejecutivo!$C$24</c:f>
              <c:strCache>
                <c:ptCount val="1"/>
                <c:pt idx="0">
                  <c:v>LI</c:v>
                </c:pt>
              </c:strCache>
            </c:strRef>
          </c:tx>
          <c:spPr>
            <a:solidFill>
              <a:schemeClr val="accent2"/>
            </a:solidFill>
            <a:ln>
              <a:noFill/>
            </a:ln>
            <a:effectLst/>
          </c:spPr>
          <c:invertIfNegative val="0"/>
          <c:cat>
            <c:strRef>
              <c:f>Dashboard_Ejecutivo!$A$25:$A$28</c:f>
              <c:strCache>
                <c:ptCount val="4"/>
                <c:pt idx="0">
                  <c:v>Norte</c:v>
                </c:pt>
                <c:pt idx="1">
                  <c:v>Sur</c:v>
                </c:pt>
                <c:pt idx="2">
                  <c:v>Este</c:v>
                </c:pt>
                <c:pt idx="3">
                  <c:v>Oeste</c:v>
                </c:pt>
              </c:strCache>
            </c:strRef>
          </c:cat>
          <c:val>
            <c:numRef>
              <c:f>Dashboard_Ejecutivo!$C$25:$C$28</c:f>
              <c:numCache>
                <c:formatCode>General</c:formatCode>
                <c:ptCount val="4"/>
                <c:pt idx="0">
                  <c:v>1848.2773743252201</c:v>
                </c:pt>
                <c:pt idx="1">
                  <c:v>1804.4959497022769</c:v>
                </c:pt>
                <c:pt idx="2">
                  <c:v>2042.7844222728368</c:v>
                </c:pt>
                <c:pt idx="3">
                  <c:v>2158.2907960463008</c:v>
                </c:pt>
              </c:numCache>
            </c:numRef>
          </c:val>
          <c:extLst>
            <c:ext xmlns:c16="http://schemas.microsoft.com/office/drawing/2014/chart" uri="{C3380CC4-5D6E-409C-BE32-E72D297353CC}">
              <c16:uniqueId val="{00000001-3FEF-43E4-BA57-95F8E8FD3259}"/>
            </c:ext>
          </c:extLst>
        </c:ser>
        <c:ser>
          <c:idx val="2"/>
          <c:order val="2"/>
          <c:tx>
            <c:strRef>
              <c:f>Dashboard_Ejecutivo!$D$24</c:f>
              <c:strCache>
                <c:ptCount val="1"/>
                <c:pt idx="0">
                  <c:v>LS</c:v>
                </c:pt>
              </c:strCache>
            </c:strRef>
          </c:tx>
          <c:spPr>
            <a:solidFill>
              <a:schemeClr val="accent3"/>
            </a:solidFill>
            <a:ln>
              <a:noFill/>
            </a:ln>
            <a:effectLst/>
          </c:spPr>
          <c:invertIfNegative val="0"/>
          <c:cat>
            <c:strRef>
              <c:f>Dashboard_Ejecutivo!$A$25:$A$28</c:f>
              <c:strCache>
                <c:ptCount val="4"/>
                <c:pt idx="0">
                  <c:v>Norte</c:v>
                </c:pt>
                <c:pt idx="1">
                  <c:v>Sur</c:v>
                </c:pt>
                <c:pt idx="2">
                  <c:v>Este</c:v>
                </c:pt>
                <c:pt idx="3">
                  <c:v>Oeste</c:v>
                </c:pt>
              </c:strCache>
            </c:strRef>
          </c:cat>
          <c:val>
            <c:numRef>
              <c:f>Dashboard_Ejecutivo!$D$25:$D$28</c:f>
              <c:numCache>
                <c:formatCode>General</c:formatCode>
                <c:ptCount val="4"/>
                <c:pt idx="0">
                  <c:v>6271.4062009121208</c:v>
                </c:pt>
                <c:pt idx="1">
                  <c:v>6163.8217793219646</c:v>
                </c:pt>
                <c:pt idx="2">
                  <c:v>6863.8641299889905</c:v>
                </c:pt>
                <c:pt idx="3">
                  <c:v>7126.9344187663282</c:v>
                </c:pt>
              </c:numCache>
            </c:numRef>
          </c:val>
          <c:extLst>
            <c:ext xmlns:c16="http://schemas.microsoft.com/office/drawing/2014/chart" uri="{C3380CC4-5D6E-409C-BE32-E72D297353CC}">
              <c16:uniqueId val="{00000002-3FEF-43E4-BA57-95F8E8FD3259}"/>
            </c:ext>
          </c:extLst>
        </c:ser>
        <c:dLbls>
          <c:showLegendKey val="0"/>
          <c:showVal val="0"/>
          <c:showCatName val="0"/>
          <c:showSerName val="0"/>
          <c:showPercent val="0"/>
          <c:showBubbleSize val="0"/>
        </c:dLbls>
        <c:gapWidth val="219"/>
        <c:overlap val="-27"/>
        <c:axId val="1400723232"/>
        <c:axId val="1400708352"/>
      </c:barChart>
      <c:catAx>
        <c:axId val="14007232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crossAx val="1400708352"/>
        <c:crosses val="autoZero"/>
        <c:auto val="1"/>
        <c:lblAlgn val="ctr"/>
        <c:lblOffset val="100"/>
        <c:noMultiLvlLbl val="0"/>
      </c:catAx>
      <c:valAx>
        <c:axId val="14007083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crossAx val="140072323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MX"/>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pivotSource>
    <c:name>[TechSales_Analisis_Integral.xlsx]Dashboard_Ejecutivo!TablaDinámica19</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Tendencia</a:t>
            </a:r>
            <a:r>
              <a:rPr lang="en-US" baseline="0"/>
              <a:t> de ingresos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MX"/>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Dashboard_Ejecutivo!$B$31</c:f>
              <c:strCache>
                <c:ptCount val="1"/>
                <c:pt idx="0">
                  <c:v>Total</c:v>
                </c:pt>
              </c:strCache>
            </c:strRef>
          </c:tx>
          <c:spPr>
            <a:ln w="28575" cap="rnd">
              <a:solidFill>
                <a:schemeClr val="accent1"/>
              </a:solidFill>
              <a:round/>
            </a:ln>
            <a:effectLst/>
          </c:spPr>
          <c:marker>
            <c:symbol val="none"/>
          </c:marker>
          <c:cat>
            <c:multiLvlStrRef>
              <c:f>Dashboard_Ejecutivo!$A$32:$A$63</c:f>
              <c:multiLvlStrCache>
                <c:ptCount val="28"/>
                <c:lvl>
                  <c:pt idx="0">
                    <c:v>01-ene</c:v>
                  </c:pt>
                  <c:pt idx="1">
                    <c:v>10-ene</c:v>
                  </c:pt>
                  <c:pt idx="2">
                    <c:v>12-ene</c:v>
                  </c:pt>
                  <c:pt idx="3">
                    <c:v>13-ene</c:v>
                  </c:pt>
                  <c:pt idx="4">
                    <c:v>16-ene</c:v>
                  </c:pt>
                  <c:pt idx="5">
                    <c:v>18-ene</c:v>
                  </c:pt>
                  <c:pt idx="6">
                    <c:v>20-ene</c:v>
                  </c:pt>
                  <c:pt idx="7">
                    <c:v>22-ene</c:v>
                  </c:pt>
                  <c:pt idx="8">
                    <c:v>27-ene</c:v>
                  </c:pt>
                  <c:pt idx="9">
                    <c:v>28-ene</c:v>
                  </c:pt>
                  <c:pt idx="10">
                    <c:v>30-ene</c:v>
                  </c:pt>
                  <c:pt idx="11">
                    <c:v>01-feb</c:v>
                  </c:pt>
                  <c:pt idx="12">
                    <c:v>02-feb</c:v>
                  </c:pt>
                  <c:pt idx="13">
                    <c:v>06-feb</c:v>
                  </c:pt>
                  <c:pt idx="14">
                    <c:v>09-feb</c:v>
                  </c:pt>
                  <c:pt idx="15">
                    <c:v>17-feb</c:v>
                  </c:pt>
                  <c:pt idx="16">
                    <c:v>23-feb</c:v>
                  </c:pt>
                  <c:pt idx="17">
                    <c:v>25-feb</c:v>
                  </c:pt>
                  <c:pt idx="18">
                    <c:v>26-feb</c:v>
                  </c:pt>
                  <c:pt idx="19">
                    <c:v>28-feb</c:v>
                  </c:pt>
                  <c:pt idx="20">
                    <c:v>05-mar</c:v>
                  </c:pt>
                  <c:pt idx="21">
                    <c:v>08-mar</c:v>
                  </c:pt>
                  <c:pt idx="22">
                    <c:v>11-mar</c:v>
                  </c:pt>
                  <c:pt idx="23">
                    <c:v>16-mar</c:v>
                  </c:pt>
                  <c:pt idx="24">
                    <c:v>19-mar</c:v>
                  </c:pt>
                  <c:pt idx="25">
                    <c:v>21-mar</c:v>
                  </c:pt>
                  <c:pt idx="26">
                    <c:v>22-mar</c:v>
                  </c:pt>
                  <c:pt idx="27">
                    <c:v>26-mar</c:v>
                  </c:pt>
                </c:lvl>
                <c:lvl>
                  <c:pt idx="0">
                    <c:v>ene</c:v>
                  </c:pt>
                  <c:pt idx="11">
                    <c:v>feb</c:v>
                  </c:pt>
                  <c:pt idx="20">
                    <c:v>mar</c:v>
                  </c:pt>
                </c:lvl>
              </c:multiLvlStrCache>
            </c:multiLvlStrRef>
          </c:cat>
          <c:val>
            <c:numRef>
              <c:f>Dashboard_Ejecutivo!$B$32:$B$63</c:f>
              <c:numCache>
                <c:formatCode>General</c:formatCode>
                <c:ptCount val="28"/>
                <c:pt idx="0">
                  <c:v>568.1</c:v>
                </c:pt>
                <c:pt idx="1">
                  <c:v>3481.05</c:v>
                </c:pt>
                <c:pt idx="2">
                  <c:v>1000.35</c:v>
                </c:pt>
                <c:pt idx="3">
                  <c:v>1041</c:v>
                </c:pt>
                <c:pt idx="4">
                  <c:v>3232.8</c:v>
                </c:pt>
                <c:pt idx="5">
                  <c:v>675.9</c:v>
                </c:pt>
                <c:pt idx="6">
                  <c:v>2893.4</c:v>
                </c:pt>
                <c:pt idx="7">
                  <c:v>4226</c:v>
                </c:pt>
                <c:pt idx="8">
                  <c:v>2638.4</c:v>
                </c:pt>
                <c:pt idx="9">
                  <c:v>1084.9000000000001</c:v>
                </c:pt>
                <c:pt idx="10">
                  <c:v>1908</c:v>
                </c:pt>
                <c:pt idx="11">
                  <c:v>3004.2</c:v>
                </c:pt>
                <c:pt idx="12">
                  <c:v>897.75</c:v>
                </c:pt>
                <c:pt idx="13">
                  <c:v>1536.8</c:v>
                </c:pt>
                <c:pt idx="14">
                  <c:v>4855.5</c:v>
                </c:pt>
                <c:pt idx="15">
                  <c:v>1401</c:v>
                </c:pt>
                <c:pt idx="16">
                  <c:v>1666.8</c:v>
                </c:pt>
                <c:pt idx="17">
                  <c:v>1380</c:v>
                </c:pt>
                <c:pt idx="18">
                  <c:v>750.5</c:v>
                </c:pt>
                <c:pt idx="19">
                  <c:v>2156</c:v>
                </c:pt>
                <c:pt idx="20">
                  <c:v>1850</c:v>
                </c:pt>
                <c:pt idx="21">
                  <c:v>407.15</c:v>
                </c:pt>
                <c:pt idx="22">
                  <c:v>352.45</c:v>
                </c:pt>
                <c:pt idx="23">
                  <c:v>2151</c:v>
                </c:pt>
                <c:pt idx="24">
                  <c:v>769</c:v>
                </c:pt>
                <c:pt idx="25">
                  <c:v>1299.5999999999999</c:v>
                </c:pt>
                <c:pt idx="26">
                  <c:v>1056</c:v>
                </c:pt>
                <c:pt idx="27">
                  <c:v>3271.8</c:v>
                </c:pt>
              </c:numCache>
            </c:numRef>
          </c:val>
          <c:smooth val="0"/>
          <c:extLst>
            <c:ext xmlns:c16="http://schemas.microsoft.com/office/drawing/2014/chart" uri="{C3380CC4-5D6E-409C-BE32-E72D297353CC}">
              <c16:uniqueId val="{00000000-0B2E-49F8-BE56-69F43F6B3BCB}"/>
            </c:ext>
          </c:extLst>
        </c:ser>
        <c:dLbls>
          <c:showLegendKey val="0"/>
          <c:showVal val="0"/>
          <c:showCatName val="0"/>
          <c:showSerName val="0"/>
          <c:showPercent val="0"/>
          <c:showBubbleSize val="0"/>
        </c:dLbls>
        <c:smooth val="0"/>
        <c:axId val="1902930992"/>
        <c:axId val="1902945392"/>
      </c:lineChart>
      <c:catAx>
        <c:axId val="19029309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crossAx val="1902945392"/>
        <c:crosses val="autoZero"/>
        <c:auto val="1"/>
        <c:lblAlgn val="ctr"/>
        <c:lblOffset val="100"/>
        <c:noMultiLvlLbl val="0"/>
      </c:catAx>
      <c:valAx>
        <c:axId val="19029453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crossAx val="19029309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MX"/>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r>
              <a:rPr lang="en-US"/>
              <a:t>Venta de productos</a:t>
            </a:r>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endParaRPr lang="es-MX"/>
        </a:p>
      </c:txPr>
    </c:title>
    <c:autoTitleDeleted val="0"/>
    <c:plotArea>
      <c:layout/>
      <c:bubbleChart>
        <c:varyColors val="0"/>
        <c:ser>
          <c:idx val="0"/>
          <c:order val="0"/>
          <c:tx>
            <c:strRef>
              <c:f>Datos_Ventas_Completos!$I$1</c:f>
              <c:strCache>
                <c:ptCount val="1"/>
                <c:pt idx="0">
                  <c:v>Cantidad</c:v>
                </c:pt>
              </c:strCache>
            </c:strRef>
          </c:tx>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invertIfNegative val="0"/>
          <c:xVal>
            <c:numRef>
              <c:f>Datos_Ventas_Completos!$H$2:$H$101</c:f>
              <c:numCache>
                <c:formatCode>General</c:formatCode>
                <c:ptCount val="100"/>
                <c:pt idx="0">
                  <c:v>528</c:v>
                </c:pt>
                <c:pt idx="1">
                  <c:v>1317</c:v>
                </c:pt>
                <c:pt idx="2">
                  <c:v>463</c:v>
                </c:pt>
                <c:pt idx="3">
                  <c:v>1070</c:v>
                </c:pt>
                <c:pt idx="4">
                  <c:v>371</c:v>
                </c:pt>
                <c:pt idx="5">
                  <c:v>766</c:v>
                </c:pt>
                <c:pt idx="6">
                  <c:v>773</c:v>
                </c:pt>
                <c:pt idx="7">
                  <c:v>1210</c:v>
                </c:pt>
                <c:pt idx="8">
                  <c:v>571</c:v>
                </c:pt>
                <c:pt idx="9">
                  <c:v>893</c:v>
                </c:pt>
                <c:pt idx="10">
                  <c:v>1141</c:v>
                </c:pt>
                <c:pt idx="11">
                  <c:v>1064</c:v>
                </c:pt>
                <c:pt idx="12">
                  <c:v>456</c:v>
                </c:pt>
                <c:pt idx="13">
                  <c:v>1114</c:v>
                </c:pt>
                <c:pt idx="14">
                  <c:v>1362</c:v>
                </c:pt>
                <c:pt idx="15">
                  <c:v>1048</c:v>
                </c:pt>
                <c:pt idx="16">
                  <c:v>860</c:v>
                </c:pt>
                <c:pt idx="17">
                  <c:v>1184</c:v>
                </c:pt>
                <c:pt idx="18">
                  <c:v>1020</c:v>
                </c:pt>
                <c:pt idx="19">
                  <c:v>1349</c:v>
                </c:pt>
                <c:pt idx="20">
                  <c:v>395</c:v>
                </c:pt>
                <c:pt idx="21">
                  <c:v>1265</c:v>
                </c:pt>
                <c:pt idx="22">
                  <c:v>859</c:v>
                </c:pt>
                <c:pt idx="23">
                  <c:v>370</c:v>
                </c:pt>
                <c:pt idx="24">
                  <c:v>1067</c:v>
                </c:pt>
                <c:pt idx="25">
                  <c:v>1376</c:v>
                </c:pt>
                <c:pt idx="26">
                  <c:v>1156</c:v>
                </c:pt>
                <c:pt idx="27">
                  <c:v>1078</c:v>
                </c:pt>
                <c:pt idx="28">
                  <c:v>1083</c:v>
                </c:pt>
                <c:pt idx="29">
                  <c:v>952</c:v>
                </c:pt>
                <c:pt idx="30">
                  <c:v>815</c:v>
                </c:pt>
                <c:pt idx="31">
                  <c:v>825</c:v>
                </c:pt>
                <c:pt idx="32">
                  <c:v>339</c:v>
                </c:pt>
                <c:pt idx="33">
                  <c:v>636</c:v>
                </c:pt>
                <c:pt idx="34">
                  <c:v>1394</c:v>
                </c:pt>
                <c:pt idx="35">
                  <c:v>345</c:v>
                </c:pt>
                <c:pt idx="36">
                  <c:v>921</c:v>
                </c:pt>
                <c:pt idx="37">
                  <c:v>1188</c:v>
                </c:pt>
                <c:pt idx="38">
                  <c:v>776</c:v>
                </c:pt>
                <c:pt idx="39">
                  <c:v>395</c:v>
                </c:pt>
                <c:pt idx="40">
                  <c:v>1389</c:v>
                </c:pt>
                <c:pt idx="41">
                  <c:v>851</c:v>
                </c:pt>
                <c:pt idx="42">
                  <c:v>861</c:v>
                </c:pt>
                <c:pt idx="43">
                  <c:v>881</c:v>
                </c:pt>
                <c:pt idx="44">
                  <c:v>956</c:v>
                </c:pt>
                <c:pt idx="45">
                  <c:v>1189</c:v>
                </c:pt>
                <c:pt idx="46">
                  <c:v>1297</c:v>
                </c:pt>
                <c:pt idx="47">
                  <c:v>703</c:v>
                </c:pt>
                <c:pt idx="48">
                  <c:v>1065</c:v>
                </c:pt>
                <c:pt idx="49">
                  <c:v>1158</c:v>
                </c:pt>
                <c:pt idx="50">
                  <c:v>429</c:v>
                </c:pt>
                <c:pt idx="51">
                  <c:v>467</c:v>
                </c:pt>
                <c:pt idx="52">
                  <c:v>904</c:v>
                </c:pt>
                <c:pt idx="53">
                  <c:v>612</c:v>
                </c:pt>
                <c:pt idx="54">
                  <c:v>851</c:v>
                </c:pt>
                <c:pt idx="55">
                  <c:v>1183</c:v>
                </c:pt>
                <c:pt idx="56">
                  <c:v>882</c:v>
                </c:pt>
                <c:pt idx="57">
                  <c:v>1302</c:v>
                </c:pt>
                <c:pt idx="58">
                  <c:v>735</c:v>
                </c:pt>
                <c:pt idx="59">
                  <c:v>1348</c:v>
                </c:pt>
                <c:pt idx="60">
                  <c:v>1169</c:v>
                </c:pt>
                <c:pt idx="61">
                  <c:v>905</c:v>
                </c:pt>
                <c:pt idx="62">
                  <c:v>875</c:v>
                </c:pt>
                <c:pt idx="63">
                  <c:v>1135</c:v>
                </c:pt>
                <c:pt idx="64">
                  <c:v>516</c:v>
                </c:pt>
                <c:pt idx="65">
                  <c:v>598</c:v>
                </c:pt>
                <c:pt idx="66">
                  <c:v>735</c:v>
                </c:pt>
                <c:pt idx="67">
                  <c:v>1049</c:v>
                </c:pt>
                <c:pt idx="68">
                  <c:v>1242</c:v>
                </c:pt>
                <c:pt idx="69">
                  <c:v>779</c:v>
                </c:pt>
                <c:pt idx="70">
                  <c:v>941</c:v>
                </c:pt>
                <c:pt idx="71">
                  <c:v>1122</c:v>
                </c:pt>
                <c:pt idx="72">
                  <c:v>1310</c:v>
                </c:pt>
                <c:pt idx="73">
                  <c:v>962</c:v>
                </c:pt>
                <c:pt idx="74">
                  <c:v>1321</c:v>
                </c:pt>
                <c:pt idx="75">
                  <c:v>871</c:v>
                </c:pt>
                <c:pt idx="76">
                  <c:v>452</c:v>
                </c:pt>
                <c:pt idx="77">
                  <c:v>539</c:v>
                </c:pt>
                <c:pt idx="78">
                  <c:v>902</c:v>
                </c:pt>
                <c:pt idx="79">
                  <c:v>1007</c:v>
                </c:pt>
                <c:pt idx="80">
                  <c:v>1040</c:v>
                </c:pt>
                <c:pt idx="81">
                  <c:v>347</c:v>
                </c:pt>
                <c:pt idx="82">
                  <c:v>479</c:v>
                </c:pt>
                <c:pt idx="83">
                  <c:v>609</c:v>
                </c:pt>
                <c:pt idx="84">
                  <c:v>1067</c:v>
                </c:pt>
                <c:pt idx="85">
                  <c:v>622</c:v>
                </c:pt>
                <c:pt idx="86">
                  <c:v>1024</c:v>
                </c:pt>
                <c:pt idx="87">
                  <c:v>751</c:v>
                </c:pt>
                <c:pt idx="88">
                  <c:v>1343</c:v>
                </c:pt>
                <c:pt idx="89">
                  <c:v>831</c:v>
                </c:pt>
                <c:pt idx="90">
                  <c:v>898</c:v>
                </c:pt>
                <c:pt idx="91">
                  <c:v>1275</c:v>
                </c:pt>
                <c:pt idx="92">
                  <c:v>1197</c:v>
                </c:pt>
                <c:pt idx="93">
                  <c:v>717</c:v>
                </c:pt>
                <c:pt idx="94">
                  <c:v>662</c:v>
                </c:pt>
                <c:pt idx="95">
                  <c:v>351</c:v>
                </c:pt>
                <c:pt idx="96">
                  <c:v>951</c:v>
                </c:pt>
                <c:pt idx="97">
                  <c:v>315</c:v>
                </c:pt>
                <c:pt idx="98">
                  <c:v>1287</c:v>
                </c:pt>
                <c:pt idx="99">
                  <c:v>769</c:v>
                </c:pt>
              </c:numCache>
            </c:numRef>
          </c:xVal>
          <c:yVal>
            <c:numRef>
              <c:f>Datos_Ventas_Completos!$I$2:$I$101</c:f>
              <c:numCache>
                <c:formatCode>General</c:formatCode>
                <c:ptCount val="100"/>
                <c:pt idx="0">
                  <c:v>2</c:v>
                </c:pt>
                <c:pt idx="1">
                  <c:v>5</c:v>
                </c:pt>
                <c:pt idx="2">
                  <c:v>4</c:v>
                </c:pt>
                <c:pt idx="3">
                  <c:v>1</c:v>
                </c:pt>
                <c:pt idx="4">
                  <c:v>1</c:v>
                </c:pt>
                <c:pt idx="5">
                  <c:v>3</c:v>
                </c:pt>
                <c:pt idx="6">
                  <c:v>4</c:v>
                </c:pt>
                <c:pt idx="7">
                  <c:v>3</c:v>
                </c:pt>
                <c:pt idx="8">
                  <c:v>2</c:v>
                </c:pt>
                <c:pt idx="9">
                  <c:v>1</c:v>
                </c:pt>
                <c:pt idx="10">
                  <c:v>3</c:v>
                </c:pt>
                <c:pt idx="11">
                  <c:v>1</c:v>
                </c:pt>
                <c:pt idx="12">
                  <c:v>3</c:v>
                </c:pt>
                <c:pt idx="13">
                  <c:v>2</c:v>
                </c:pt>
                <c:pt idx="14">
                  <c:v>2</c:v>
                </c:pt>
                <c:pt idx="15">
                  <c:v>5</c:v>
                </c:pt>
                <c:pt idx="16">
                  <c:v>2</c:v>
                </c:pt>
                <c:pt idx="17">
                  <c:v>5</c:v>
                </c:pt>
                <c:pt idx="18">
                  <c:v>4</c:v>
                </c:pt>
                <c:pt idx="19">
                  <c:v>4</c:v>
                </c:pt>
                <c:pt idx="20">
                  <c:v>2</c:v>
                </c:pt>
                <c:pt idx="21">
                  <c:v>3</c:v>
                </c:pt>
                <c:pt idx="22">
                  <c:v>5</c:v>
                </c:pt>
                <c:pt idx="23">
                  <c:v>5</c:v>
                </c:pt>
                <c:pt idx="24">
                  <c:v>2</c:v>
                </c:pt>
                <c:pt idx="25">
                  <c:v>1</c:v>
                </c:pt>
                <c:pt idx="26">
                  <c:v>3</c:v>
                </c:pt>
                <c:pt idx="27">
                  <c:v>3</c:v>
                </c:pt>
                <c:pt idx="28">
                  <c:v>1</c:v>
                </c:pt>
                <c:pt idx="29">
                  <c:v>5</c:v>
                </c:pt>
                <c:pt idx="30">
                  <c:v>2</c:v>
                </c:pt>
                <c:pt idx="31">
                  <c:v>2</c:v>
                </c:pt>
                <c:pt idx="32">
                  <c:v>4</c:v>
                </c:pt>
                <c:pt idx="33">
                  <c:v>3</c:v>
                </c:pt>
                <c:pt idx="34">
                  <c:v>3</c:v>
                </c:pt>
                <c:pt idx="35">
                  <c:v>4</c:v>
                </c:pt>
                <c:pt idx="36">
                  <c:v>1</c:v>
                </c:pt>
                <c:pt idx="37">
                  <c:v>2</c:v>
                </c:pt>
                <c:pt idx="38">
                  <c:v>4</c:v>
                </c:pt>
                <c:pt idx="39">
                  <c:v>2</c:v>
                </c:pt>
                <c:pt idx="40">
                  <c:v>2</c:v>
                </c:pt>
                <c:pt idx="41">
                  <c:v>5</c:v>
                </c:pt>
                <c:pt idx="42">
                  <c:v>4</c:v>
                </c:pt>
                <c:pt idx="43">
                  <c:v>4</c:v>
                </c:pt>
                <c:pt idx="44">
                  <c:v>2</c:v>
                </c:pt>
                <c:pt idx="45">
                  <c:v>4</c:v>
                </c:pt>
                <c:pt idx="46">
                  <c:v>1</c:v>
                </c:pt>
                <c:pt idx="47">
                  <c:v>5</c:v>
                </c:pt>
                <c:pt idx="48">
                  <c:v>3</c:v>
                </c:pt>
                <c:pt idx="49">
                  <c:v>2</c:v>
                </c:pt>
                <c:pt idx="50">
                  <c:v>4</c:v>
                </c:pt>
                <c:pt idx="51">
                  <c:v>3</c:v>
                </c:pt>
                <c:pt idx="52">
                  <c:v>3</c:v>
                </c:pt>
                <c:pt idx="53">
                  <c:v>4</c:v>
                </c:pt>
                <c:pt idx="54">
                  <c:v>4</c:v>
                </c:pt>
                <c:pt idx="55">
                  <c:v>5</c:v>
                </c:pt>
                <c:pt idx="56">
                  <c:v>5</c:v>
                </c:pt>
                <c:pt idx="57">
                  <c:v>4</c:v>
                </c:pt>
                <c:pt idx="58">
                  <c:v>5</c:v>
                </c:pt>
                <c:pt idx="59">
                  <c:v>2</c:v>
                </c:pt>
                <c:pt idx="60">
                  <c:v>2</c:v>
                </c:pt>
                <c:pt idx="61">
                  <c:v>1</c:v>
                </c:pt>
                <c:pt idx="62">
                  <c:v>5</c:v>
                </c:pt>
                <c:pt idx="63">
                  <c:v>4</c:v>
                </c:pt>
                <c:pt idx="64">
                  <c:v>3</c:v>
                </c:pt>
                <c:pt idx="65">
                  <c:v>1</c:v>
                </c:pt>
                <c:pt idx="66">
                  <c:v>1</c:v>
                </c:pt>
                <c:pt idx="67">
                  <c:v>1</c:v>
                </c:pt>
                <c:pt idx="68">
                  <c:v>3</c:v>
                </c:pt>
                <c:pt idx="69">
                  <c:v>4</c:v>
                </c:pt>
                <c:pt idx="70">
                  <c:v>3</c:v>
                </c:pt>
                <c:pt idx="71">
                  <c:v>3</c:v>
                </c:pt>
                <c:pt idx="72">
                  <c:v>4</c:v>
                </c:pt>
                <c:pt idx="73">
                  <c:v>3</c:v>
                </c:pt>
                <c:pt idx="74">
                  <c:v>3</c:v>
                </c:pt>
                <c:pt idx="75">
                  <c:v>3</c:v>
                </c:pt>
                <c:pt idx="76">
                  <c:v>4</c:v>
                </c:pt>
                <c:pt idx="77">
                  <c:v>4</c:v>
                </c:pt>
                <c:pt idx="78">
                  <c:v>4</c:v>
                </c:pt>
                <c:pt idx="79">
                  <c:v>1</c:v>
                </c:pt>
                <c:pt idx="80">
                  <c:v>3</c:v>
                </c:pt>
                <c:pt idx="81">
                  <c:v>3</c:v>
                </c:pt>
                <c:pt idx="82">
                  <c:v>1</c:v>
                </c:pt>
                <c:pt idx="83">
                  <c:v>4</c:v>
                </c:pt>
                <c:pt idx="84">
                  <c:v>3</c:v>
                </c:pt>
                <c:pt idx="85">
                  <c:v>4</c:v>
                </c:pt>
                <c:pt idx="86">
                  <c:v>2</c:v>
                </c:pt>
                <c:pt idx="87">
                  <c:v>1</c:v>
                </c:pt>
                <c:pt idx="88">
                  <c:v>5</c:v>
                </c:pt>
                <c:pt idx="89">
                  <c:v>4</c:v>
                </c:pt>
                <c:pt idx="90">
                  <c:v>4</c:v>
                </c:pt>
                <c:pt idx="91">
                  <c:v>3</c:v>
                </c:pt>
                <c:pt idx="92">
                  <c:v>4</c:v>
                </c:pt>
                <c:pt idx="93">
                  <c:v>3</c:v>
                </c:pt>
                <c:pt idx="94">
                  <c:v>4</c:v>
                </c:pt>
                <c:pt idx="95">
                  <c:v>3</c:v>
                </c:pt>
                <c:pt idx="96">
                  <c:v>5</c:v>
                </c:pt>
                <c:pt idx="97">
                  <c:v>3</c:v>
                </c:pt>
                <c:pt idx="98">
                  <c:v>4</c:v>
                </c:pt>
                <c:pt idx="99">
                  <c:v>1</c:v>
                </c:pt>
              </c:numCache>
            </c:numRef>
          </c:yVal>
          <c:bubbleSize>
            <c:numRef>
              <c:f>Datos_Ventas_Completos!$J$2:$J$101</c:f>
              <c:numCache>
                <c:formatCode>General</c:formatCode>
                <c:ptCount val="100"/>
                <c:pt idx="0">
                  <c:v>1056</c:v>
                </c:pt>
                <c:pt idx="1">
                  <c:v>6585</c:v>
                </c:pt>
                <c:pt idx="2">
                  <c:v>1666.8</c:v>
                </c:pt>
                <c:pt idx="3">
                  <c:v>909.5</c:v>
                </c:pt>
                <c:pt idx="4">
                  <c:v>352.45</c:v>
                </c:pt>
                <c:pt idx="5">
                  <c:v>2068.1999999999998</c:v>
                </c:pt>
                <c:pt idx="6">
                  <c:v>2782.8</c:v>
                </c:pt>
                <c:pt idx="7">
                  <c:v>3630</c:v>
                </c:pt>
                <c:pt idx="8">
                  <c:v>1084.9000000000001</c:v>
                </c:pt>
                <c:pt idx="9">
                  <c:v>893</c:v>
                </c:pt>
                <c:pt idx="10">
                  <c:v>3423</c:v>
                </c:pt>
                <c:pt idx="11">
                  <c:v>957.6</c:v>
                </c:pt>
                <c:pt idx="12">
                  <c:v>1299.5999999999999</c:v>
                </c:pt>
                <c:pt idx="13">
                  <c:v>2228</c:v>
                </c:pt>
                <c:pt idx="14">
                  <c:v>2451.6</c:v>
                </c:pt>
                <c:pt idx="15">
                  <c:v>4454</c:v>
                </c:pt>
                <c:pt idx="16">
                  <c:v>1720</c:v>
                </c:pt>
                <c:pt idx="17">
                  <c:v>5032</c:v>
                </c:pt>
                <c:pt idx="18">
                  <c:v>4080</c:v>
                </c:pt>
                <c:pt idx="19">
                  <c:v>5126.2</c:v>
                </c:pt>
                <c:pt idx="20">
                  <c:v>750.5</c:v>
                </c:pt>
                <c:pt idx="21">
                  <c:v>3225.75</c:v>
                </c:pt>
                <c:pt idx="22">
                  <c:v>4295</c:v>
                </c:pt>
                <c:pt idx="23">
                  <c:v>1850</c:v>
                </c:pt>
                <c:pt idx="24">
                  <c:v>1920.6</c:v>
                </c:pt>
                <c:pt idx="25">
                  <c:v>1376</c:v>
                </c:pt>
                <c:pt idx="26">
                  <c:v>3468</c:v>
                </c:pt>
                <c:pt idx="27">
                  <c:v>3072.3</c:v>
                </c:pt>
                <c:pt idx="28">
                  <c:v>1083</c:v>
                </c:pt>
                <c:pt idx="29">
                  <c:v>4760</c:v>
                </c:pt>
                <c:pt idx="30">
                  <c:v>1630</c:v>
                </c:pt>
                <c:pt idx="31">
                  <c:v>1485</c:v>
                </c:pt>
                <c:pt idx="32">
                  <c:v>1288.2</c:v>
                </c:pt>
                <c:pt idx="33">
                  <c:v>1908</c:v>
                </c:pt>
                <c:pt idx="34">
                  <c:v>4182</c:v>
                </c:pt>
                <c:pt idx="35">
                  <c:v>1380</c:v>
                </c:pt>
                <c:pt idx="36">
                  <c:v>828.9</c:v>
                </c:pt>
                <c:pt idx="37">
                  <c:v>2138.4</c:v>
                </c:pt>
                <c:pt idx="38">
                  <c:v>2638.4</c:v>
                </c:pt>
                <c:pt idx="39">
                  <c:v>711</c:v>
                </c:pt>
                <c:pt idx="40">
                  <c:v>2361.3000000000002</c:v>
                </c:pt>
                <c:pt idx="41">
                  <c:v>4042.25</c:v>
                </c:pt>
                <c:pt idx="42">
                  <c:v>3271.8</c:v>
                </c:pt>
                <c:pt idx="43">
                  <c:v>3524</c:v>
                </c:pt>
                <c:pt idx="44">
                  <c:v>1912</c:v>
                </c:pt>
                <c:pt idx="45">
                  <c:v>4042.6</c:v>
                </c:pt>
                <c:pt idx="46">
                  <c:v>1102.45</c:v>
                </c:pt>
                <c:pt idx="47">
                  <c:v>3515</c:v>
                </c:pt>
                <c:pt idx="48">
                  <c:v>2875.5</c:v>
                </c:pt>
                <c:pt idx="49">
                  <c:v>2316</c:v>
                </c:pt>
                <c:pt idx="50">
                  <c:v>1716</c:v>
                </c:pt>
                <c:pt idx="51">
                  <c:v>1401</c:v>
                </c:pt>
                <c:pt idx="52">
                  <c:v>2712</c:v>
                </c:pt>
                <c:pt idx="53">
                  <c:v>2080.8000000000002</c:v>
                </c:pt>
                <c:pt idx="54">
                  <c:v>2893.4</c:v>
                </c:pt>
                <c:pt idx="55">
                  <c:v>5027.75</c:v>
                </c:pt>
                <c:pt idx="56">
                  <c:v>4410</c:v>
                </c:pt>
                <c:pt idx="57">
                  <c:v>5208</c:v>
                </c:pt>
                <c:pt idx="58">
                  <c:v>3307.5</c:v>
                </c:pt>
                <c:pt idx="59">
                  <c:v>2561.1999999999998</c:v>
                </c:pt>
                <c:pt idx="60">
                  <c:v>2104.1999999999998</c:v>
                </c:pt>
                <c:pt idx="61">
                  <c:v>814.5</c:v>
                </c:pt>
                <c:pt idx="62">
                  <c:v>4375</c:v>
                </c:pt>
                <c:pt idx="63">
                  <c:v>3859</c:v>
                </c:pt>
                <c:pt idx="64">
                  <c:v>1548</c:v>
                </c:pt>
                <c:pt idx="65">
                  <c:v>568.1</c:v>
                </c:pt>
                <c:pt idx="66">
                  <c:v>698.25</c:v>
                </c:pt>
                <c:pt idx="67">
                  <c:v>891.65</c:v>
                </c:pt>
                <c:pt idx="68">
                  <c:v>3353.4</c:v>
                </c:pt>
                <c:pt idx="69">
                  <c:v>2648.6</c:v>
                </c:pt>
                <c:pt idx="70">
                  <c:v>2823</c:v>
                </c:pt>
                <c:pt idx="71">
                  <c:v>3029.4</c:v>
                </c:pt>
                <c:pt idx="72">
                  <c:v>5240</c:v>
                </c:pt>
                <c:pt idx="73">
                  <c:v>2886</c:v>
                </c:pt>
                <c:pt idx="74">
                  <c:v>3368.55</c:v>
                </c:pt>
                <c:pt idx="75">
                  <c:v>2221.0500000000002</c:v>
                </c:pt>
                <c:pt idx="76">
                  <c:v>1536.8</c:v>
                </c:pt>
                <c:pt idx="77">
                  <c:v>2156</c:v>
                </c:pt>
                <c:pt idx="78">
                  <c:v>3608</c:v>
                </c:pt>
                <c:pt idx="79">
                  <c:v>906.3</c:v>
                </c:pt>
                <c:pt idx="80">
                  <c:v>2964</c:v>
                </c:pt>
                <c:pt idx="81">
                  <c:v>1041</c:v>
                </c:pt>
                <c:pt idx="82">
                  <c:v>407.15</c:v>
                </c:pt>
                <c:pt idx="83">
                  <c:v>2192.4</c:v>
                </c:pt>
                <c:pt idx="84">
                  <c:v>3040.95</c:v>
                </c:pt>
                <c:pt idx="85">
                  <c:v>2239.1999999999998</c:v>
                </c:pt>
                <c:pt idx="86">
                  <c:v>1843.2</c:v>
                </c:pt>
                <c:pt idx="87">
                  <c:v>675.9</c:v>
                </c:pt>
                <c:pt idx="88">
                  <c:v>6043.5</c:v>
                </c:pt>
                <c:pt idx="89">
                  <c:v>2991.6</c:v>
                </c:pt>
                <c:pt idx="90">
                  <c:v>3232.8</c:v>
                </c:pt>
                <c:pt idx="91">
                  <c:v>3251.25</c:v>
                </c:pt>
                <c:pt idx="92">
                  <c:v>4309.2</c:v>
                </c:pt>
                <c:pt idx="93">
                  <c:v>2151</c:v>
                </c:pt>
                <c:pt idx="94">
                  <c:v>2383.1999999999998</c:v>
                </c:pt>
                <c:pt idx="95">
                  <c:v>1000.35</c:v>
                </c:pt>
                <c:pt idx="96">
                  <c:v>4755</c:v>
                </c:pt>
                <c:pt idx="97">
                  <c:v>897.75</c:v>
                </c:pt>
                <c:pt idx="98">
                  <c:v>4633.2</c:v>
                </c:pt>
                <c:pt idx="99">
                  <c:v>769</c:v>
                </c:pt>
              </c:numCache>
            </c:numRef>
          </c:bubbleSize>
          <c:bubble3D val="0"/>
          <c:extLst>
            <c:ext xmlns:c16="http://schemas.microsoft.com/office/drawing/2014/chart" uri="{C3380CC4-5D6E-409C-BE32-E72D297353CC}">
              <c16:uniqueId val="{00000000-229C-462C-AF51-130243471262}"/>
            </c:ext>
          </c:extLst>
        </c:ser>
        <c:dLbls>
          <c:showLegendKey val="0"/>
          <c:showVal val="0"/>
          <c:showCatName val="0"/>
          <c:showSerName val="0"/>
          <c:showPercent val="0"/>
          <c:showBubbleSize val="0"/>
        </c:dLbls>
        <c:bubbleScale val="100"/>
        <c:showNegBubbles val="0"/>
        <c:axId val="1700173888"/>
        <c:axId val="1700174368"/>
      </c:bubbleChart>
      <c:valAx>
        <c:axId val="1700173888"/>
        <c:scaling>
          <c:orientation val="minMax"/>
        </c:scaling>
        <c:delete val="0"/>
        <c:axPos val="b"/>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w="9525" cap="rnd">
            <a:solidFill>
              <a:schemeClr val="dk1">
                <a:lumMod val="20000"/>
                <a:lumOff val="80000"/>
              </a:schemeClr>
            </a:solidFill>
            <a:round/>
          </a:ln>
          <a:effectLst/>
        </c:spPr>
        <c:txPr>
          <a:bodyPr rot="-60000000" spcFirstLastPara="1" vertOverflow="ellipsis" vert="horz" wrap="square" anchor="ctr" anchorCtr="1"/>
          <a:lstStyle/>
          <a:p>
            <a:pPr>
              <a:defRPr sz="900" b="0" i="0" u="none" strike="noStrike" kern="1200" spc="0" baseline="0">
                <a:solidFill>
                  <a:schemeClr val="dk1">
                    <a:lumMod val="65000"/>
                    <a:lumOff val="35000"/>
                  </a:schemeClr>
                </a:solidFill>
                <a:latin typeface="+mn-lt"/>
                <a:ea typeface="+mn-ea"/>
                <a:cs typeface="+mn-cs"/>
              </a:defRPr>
            </a:pPr>
            <a:endParaRPr lang="es-MX"/>
          </a:p>
        </c:txPr>
        <c:crossAx val="1700174368"/>
        <c:crosses val="autoZero"/>
        <c:crossBetween val="midCat"/>
      </c:valAx>
      <c:valAx>
        <c:axId val="1700174368"/>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w="9525" cap="rnd">
            <a:solidFill>
              <a:schemeClr val="dk1">
                <a:lumMod val="25000"/>
                <a:lumOff val="75000"/>
              </a:schemeClr>
            </a:solidFill>
            <a:round/>
          </a:ln>
          <a:effectLst/>
        </c:spPr>
        <c:txPr>
          <a:bodyPr rot="-60000000" spcFirstLastPara="1" vertOverflow="ellipsis" vert="horz" wrap="square" anchor="ctr" anchorCtr="1"/>
          <a:lstStyle/>
          <a:p>
            <a:pPr>
              <a:defRPr sz="900" b="0" i="0" u="none" strike="noStrike" kern="1200" spc="0" baseline="0">
                <a:solidFill>
                  <a:schemeClr val="dk1">
                    <a:lumMod val="65000"/>
                    <a:lumOff val="35000"/>
                  </a:schemeClr>
                </a:solidFill>
                <a:latin typeface="+mn-lt"/>
                <a:ea typeface="+mn-ea"/>
                <a:cs typeface="+mn-cs"/>
              </a:defRPr>
            </a:pPr>
            <a:endParaRPr lang="es-MX"/>
          </a:p>
        </c:txPr>
        <c:crossAx val="1700173888"/>
        <c:crosses val="autoZero"/>
        <c:crossBetween val="midCat"/>
      </c:valAx>
      <c:spPr>
        <a:gradFill>
          <a:gsLst>
            <a:gs pos="100000">
              <a:schemeClr val="lt1">
                <a:lumMod val="95000"/>
              </a:schemeClr>
            </a:gs>
            <a:gs pos="0">
              <a:schemeClr val="lt1">
                <a:alpha val="0"/>
              </a:schemeClr>
            </a:gs>
          </a:gsLst>
          <a:lin ang="5400000" scaled="0"/>
        </a:gra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dk1">
          <a:lumMod val="15000"/>
          <a:lumOff val="85000"/>
        </a:schemeClr>
      </a:solidFill>
      <a:round/>
    </a:ln>
    <a:effectLst/>
  </c:spPr>
  <c:txPr>
    <a:bodyPr/>
    <a:lstStyle/>
    <a:p>
      <a:pPr>
        <a:defRPr/>
      </a:pPr>
      <a:endParaRPr lang="es-MX"/>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cap="none" spc="50" baseline="0">
                <a:solidFill>
                  <a:schemeClr val="lt1">
                    <a:lumMod val="85000"/>
                  </a:schemeClr>
                </a:solidFill>
                <a:latin typeface="+mn-lt"/>
                <a:ea typeface="+mn-ea"/>
                <a:cs typeface="+mn-cs"/>
              </a:defRPr>
            </a:pPr>
            <a:r>
              <a:rPr lang="es-MX"/>
              <a:t>Datos por región</a:t>
            </a:r>
          </a:p>
        </c:rich>
      </c:tx>
      <c:overlay val="0"/>
      <c:spPr>
        <a:noFill/>
        <a:ln>
          <a:noFill/>
        </a:ln>
        <a:effectLst/>
      </c:spPr>
      <c:txPr>
        <a:bodyPr rot="0" spcFirstLastPara="1" vertOverflow="ellipsis" vert="horz" wrap="square" anchor="ctr" anchorCtr="1"/>
        <a:lstStyle/>
        <a:p>
          <a:pPr>
            <a:defRPr sz="1400" b="0" i="0" u="none" strike="noStrike" kern="1200" cap="none" spc="50" baseline="0">
              <a:solidFill>
                <a:schemeClr val="lt1">
                  <a:lumMod val="85000"/>
                </a:schemeClr>
              </a:solidFill>
              <a:latin typeface="+mn-lt"/>
              <a:ea typeface="+mn-ea"/>
              <a:cs typeface="+mn-cs"/>
            </a:defRPr>
          </a:pPr>
          <a:endParaRPr lang="es-MX"/>
        </a:p>
      </c:txPr>
    </c:title>
    <c:autoTitleDeleted val="0"/>
    <c:plotArea>
      <c:layout/>
      <c:radarChart>
        <c:radarStyle val="marker"/>
        <c:varyColors val="0"/>
        <c:ser>
          <c:idx val="0"/>
          <c:order val="0"/>
          <c:tx>
            <c:strRef>
              <c:f>Dashboard_Ejecutivo!$B$10</c:f>
              <c:strCache>
                <c:ptCount val="1"/>
                <c:pt idx="0">
                  <c:v>Ingresos</c:v>
                </c:pt>
              </c:strCache>
            </c:strRef>
          </c:tx>
          <c:spPr>
            <a:ln w="28575" cap="rnd">
              <a:solidFill>
                <a:schemeClr val="accent2"/>
              </a:solidFill>
            </a:ln>
            <a:effectLst>
              <a:glow rad="76200">
                <a:schemeClr val="accent2">
                  <a:satMod val="175000"/>
                  <a:alpha val="3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cat>
            <c:strRef>
              <c:f>Dashboard_Ejecutivo!$A$11:$A$14</c:f>
              <c:strCache>
                <c:ptCount val="4"/>
                <c:pt idx="0">
                  <c:v>Norte</c:v>
                </c:pt>
                <c:pt idx="1">
                  <c:v>Sur</c:v>
                </c:pt>
                <c:pt idx="2">
                  <c:v>Este</c:v>
                </c:pt>
                <c:pt idx="3">
                  <c:v>Oeste</c:v>
                </c:pt>
              </c:strCache>
            </c:strRef>
          </c:cat>
          <c:val>
            <c:numRef>
              <c:f>Dashboard_Ejecutivo!$B$11:$B$14</c:f>
              <c:numCache>
                <c:formatCode>_("$"* #,##0.00_);_("$"* \(#,##0.00\);_("$"* "-"??_);_(@_)</c:formatCode>
                <c:ptCount val="4"/>
                <c:pt idx="0">
                  <c:v>64084.999999999993</c:v>
                </c:pt>
                <c:pt idx="1">
                  <c:v>58342.500000000007</c:v>
                </c:pt>
                <c:pt idx="2">
                  <c:v>57544.549999999996</c:v>
                </c:pt>
                <c:pt idx="3">
                  <c:v>75557.649999999994</c:v>
                </c:pt>
              </c:numCache>
            </c:numRef>
          </c:val>
          <c:extLst>
            <c:ext xmlns:c16="http://schemas.microsoft.com/office/drawing/2014/chart" uri="{C3380CC4-5D6E-409C-BE32-E72D297353CC}">
              <c16:uniqueId val="{00000000-EB70-49BE-A8CF-BB225A5147F5}"/>
            </c:ext>
          </c:extLst>
        </c:ser>
        <c:ser>
          <c:idx val="1"/>
          <c:order val="1"/>
          <c:tx>
            <c:strRef>
              <c:f>Dashboard_Ejecutivo!$D$10</c:f>
              <c:strCache>
                <c:ptCount val="1"/>
                <c:pt idx="0">
                  <c:v>Satisfacción</c:v>
                </c:pt>
              </c:strCache>
            </c:strRef>
          </c:tx>
          <c:spPr>
            <a:ln w="28575" cap="rnd">
              <a:solidFill>
                <a:schemeClr val="accent4"/>
              </a:solidFill>
            </a:ln>
            <a:effectLst>
              <a:glow rad="76200">
                <a:schemeClr val="accent4">
                  <a:satMod val="175000"/>
                  <a:alpha val="34000"/>
                </a:schemeClr>
              </a:glow>
            </a:effectLst>
          </c:spPr>
          <c:marker>
            <c:symbol val="circle"/>
            <c:size val="4"/>
            <c:spPr>
              <a:solidFill>
                <a:schemeClr val="accent4">
                  <a:lumMod val="60000"/>
                  <a:lumOff val="40000"/>
                </a:schemeClr>
              </a:solidFill>
              <a:ln>
                <a:noFill/>
              </a:ln>
              <a:effectLst>
                <a:glow rad="63500">
                  <a:schemeClr val="accent4">
                    <a:satMod val="175000"/>
                    <a:alpha val="25000"/>
                  </a:schemeClr>
                </a:glow>
              </a:effectLst>
            </c:spPr>
          </c:marker>
          <c:cat>
            <c:strRef>
              <c:f>Dashboard_Ejecutivo!$A$11:$A$14</c:f>
              <c:strCache>
                <c:ptCount val="4"/>
                <c:pt idx="0">
                  <c:v>Norte</c:v>
                </c:pt>
                <c:pt idx="1">
                  <c:v>Sur</c:v>
                </c:pt>
                <c:pt idx="2">
                  <c:v>Este</c:v>
                </c:pt>
                <c:pt idx="3">
                  <c:v>Oeste</c:v>
                </c:pt>
              </c:strCache>
            </c:strRef>
          </c:cat>
          <c:val>
            <c:numRef>
              <c:f>Dashboard_Ejecutivo!$D$11:$D$14</c:f>
              <c:numCache>
                <c:formatCode>General</c:formatCode>
                <c:ptCount val="4"/>
                <c:pt idx="0">
                  <c:v>4.0269230769230777</c:v>
                </c:pt>
                <c:pt idx="1">
                  <c:v>4.0374999999999996</c:v>
                </c:pt>
                <c:pt idx="2">
                  <c:v>4.1363636363636367</c:v>
                </c:pt>
                <c:pt idx="3">
                  <c:v>3.8035714285714293</c:v>
                </c:pt>
              </c:numCache>
            </c:numRef>
          </c:val>
          <c:extLst>
            <c:ext xmlns:c16="http://schemas.microsoft.com/office/drawing/2014/chart" uri="{C3380CC4-5D6E-409C-BE32-E72D297353CC}">
              <c16:uniqueId val="{00000001-EB70-49BE-A8CF-BB225A5147F5}"/>
            </c:ext>
          </c:extLst>
        </c:ser>
        <c:ser>
          <c:idx val="2"/>
          <c:order val="2"/>
          <c:tx>
            <c:strRef>
              <c:f>Dashboard_Ejecutivo!$E$10</c:f>
              <c:strCache>
                <c:ptCount val="1"/>
                <c:pt idx="0">
                  <c:v>Ticket Promedio</c:v>
                </c:pt>
              </c:strCache>
            </c:strRef>
          </c:tx>
          <c:spPr>
            <a:ln w="28575" cap="rnd">
              <a:solidFill>
                <a:schemeClr val="accent6"/>
              </a:solidFill>
            </a:ln>
            <a:effectLst>
              <a:glow rad="76200">
                <a:schemeClr val="accent6">
                  <a:satMod val="175000"/>
                  <a:alpha val="34000"/>
                </a:schemeClr>
              </a:glow>
            </a:effectLst>
          </c:spPr>
          <c:marker>
            <c:symbol val="circle"/>
            <c:size val="4"/>
            <c:spPr>
              <a:solidFill>
                <a:schemeClr val="accent6">
                  <a:lumMod val="60000"/>
                  <a:lumOff val="40000"/>
                </a:schemeClr>
              </a:solidFill>
              <a:ln>
                <a:noFill/>
              </a:ln>
              <a:effectLst>
                <a:glow rad="63500">
                  <a:schemeClr val="accent6">
                    <a:satMod val="175000"/>
                    <a:alpha val="25000"/>
                  </a:schemeClr>
                </a:glow>
              </a:effectLst>
            </c:spPr>
          </c:marker>
          <c:cat>
            <c:strRef>
              <c:f>Dashboard_Ejecutivo!$A$11:$A$14</c:f>
              <c:strCache>
                <c:ptCount val="4"/>
                <c:pt idx="0">
                  <c:v>Norte</c:v>
                </c:pt>
                <c:pt idx="1">
                  <c:v>Sur</c:v>
                </c:pt>
                <c:pt idx="2">
                  <c:v>Este</c:v>
                </c:pt>
                <c:pt idx="3">
                  <c:v>Oeste</c:v>
                </c:pt>
              </c:strCache>
            </c:strRef>
          </c:cat>
          <c:val>
            <c:numRef>
              <c:f>Dashboard_Ejecutivo!$E$11:$E$14</c:f>
              <c:numCache>
                <c:formatCode>_("$"* #,##0.00_);_("$"* \(#,##0.00\);_("$"* "-"??_);_(@_)</c:formatCode>
                <c:ptCount val="4"/>
                <c:pt idx="0">
                  <c:v>2464.8076923076919</c:v>
                </c:pt>
                <c:pt idx="1">
                  <c:v>2430.9375000000005</c:v>
                </c:pt>
                <c:pt idx="2">
                  <c:v>2615.6613636363636</c:v>
                </c:pt>
                <c:pt idx="3">
                  <c:v>2698.4874999999997</c:v>
                </c:pt>
              </c:numCache>
            </c:numRef>
          </c:val>
          <c:extLst>
            <c:ext xmlns:c16="http://schemas.microsoft.com/office/drawing/2014/chart" uri="{C3380CC4-5D6E-409C-BE32-E72D297353CC}">
              <c16:uniqueId val="{00000002-EB70-49BE-A8CF-BB225A5147F5}"/>
            </c:ext>
          </c:extLst>
        </c:ser>
        <c:dLbls>
          <c:showLegendKey val="0"/>
          <c:showVal val="0"/>
          <c:showCatName val="0"/>
          <c:showSerName val="0"/>
          <c:showPercent val="0"/>
          <c:showBubbleSize val="0"/>
        </c:dLbls>
        <c:axId val="237376864"/>
        <c:axId val="237376384"/>
      </c:radarChart>
      <c:catAx>
        <c:axId val="237376864"/>
        <c:scaling>
          <c:orientation val="minMax"/>
        </c:scaling>
        <c:delete val="0"/>
        <c:axPos val="b"/>
        <c:majorGridlines>
          <c:spPr>
            <a:ln w="9525" cap="flat" cmpd="sng" algn="ctr">
              <a:solidFill>
                <a:schemeClr val="lt1">
                  <a:alpha val="2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s-MX"/>
          </a:p>
        </c:txPr>
        <c:crossAx val="237376384"/>
        <c:crosses val="autoZero"/>
        <c:auto val="1"/>
        <c:lblAlgn val="ctr"/>
        <c:lblOffset val="100"/>
        <c:noMultiLvlLbl val="0"/>
      </c:catAx>
      <c:valAx>
        <c:axId val="237376384"/>
        <c:scaling>
          <c:orientation val="minMax"/>
        </c:scaling>
        <c:delete val="0"/>
        <c:axPos val="l"/>
        <c:majorGridlines>
          <c:spPr>
            <a:ln w="9525" cap="flat" cmpd="sng" algn="ctr">
              <a:solidFill>
                <a:schemeClr val="lt1">
                  <a:alpha val="20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s-MX"/>
          </a:p>
        </c:txPr>
        <c:crossAx val="237376864"/>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s-MX"/>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s-MX"/>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numDim type="val">
        <cx:f>_xlchart.v1.1</cx:f>
      </cx:numDim>
    </cx:data>
  </cx:chartData>
  <cx:chart>
    <cx:title pos="t" align="ctr" overlay="0">
      <cx:tx>
        <cx:txData>
          <cx:v>Ingresos_Totales</cx:v>
        </cx:txData>
      </cx:tx>
      <cx:txPr>
        <a:bodyPr spcFirstLastPara="1" vertOverflow="ellipsis" horzOverflow="overflow" wrap="square" lIns="0" tIns="0" rIns="0" bIns="0" anchor="ctr" anchorCtr="1"/>
        <a:lstStyle/>
        <a:p>
          <a:pPr algn="ctr" rtl="0">
            <a:defRPr/>
          </a:pPr>
          <a:r>
            <a:rPr lang="es-ES" sz="1400" b="0" i="0" u="none" strike="noStrike" baseline="0">
              <a:solidFill>
                <a:sysClr val="windowText" lastClr="000000">
                  <a:lumMod val="65000"/>
                  <a:lumOff val="35000"/>
                </a:sysClr>
              </a:solidFill>
              <a:latin typeface="Calibri" panose="020F0502020204030204"/>
            </a:rPr>
            <a:t>Ingresos_Totales</a:t>
          </a:r>
        </a:p>
      </cx:txPr>
    </cx:title>
    <cx:plotArea>
      <cx:plotAreaRegion>
        <cx:series layoutId="clusteredColumn" uniqueId="{04CC5CBB-74E9-49FD-85F5-B258D22BDBBF}">
          <cx:tx>
            <cx:txData>
              <cx:f>_xlchart.v1.0</cx:f>
              <cx:v>Ingresos_Totales</cx:v>
            </cx:txData>
          </cx:tx>
          <cx:dataId val="0"/>
          <cx:layoutPr>
            <cx:binning intervalClosed="r"/>
          </cx:layoutPr>
        </cx:series>
      </cx:plotAreaRegion>
      <cx:axis id="0">
        <cx:catScaling gapWidth="0"/>
        <cx:tickLabels/>
      </cx:axis>
      <cx:axis id="1">
        <cx:valScaling/>
        <cx:majorGridlines/>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numDim type="val">
        <cx:f>_xlchart.v1.3</cx:f>
      </cx:numDim>
    </cx:data>
  </cx:chartData>
  <cx:chart>
    <cx:title pos="t" align="ctr" overlay="0">
      <cx:tx>
        <cx:txData>
          <cx:v>Tiempo de entrega</cx:v>
        </cx:txData>
      </cx:tx>
      <cx:txPr>
        <a:bodyPr spcFirstLastPara="1" vertOverflow="ellipsis" horzOverflow="overflow" wrap="square" lIns="0" tIns="0" rIns="0" bIns="0" anchor="ctr" anchorCtr="1"/>
        <a:lstStyle/>
        <a:p>
          <a:pPr algn="ctr" rtl="0">
            <a:defRPr/>
          </a:pPr>
          <a:r>
            <a:rPr lang="es-ES" sz="1400" b="0" i="0" u="none" strike="noStrike" baseline="0">
              <a:solidFill>
                <a:schemeClr val="bg1"/>
              </a:solidFill>
              <a:latin typeface="Calibri" panose="020F0502020204030204"/>
            </a:rPr>
            <a:t>Tiempo de entrega</a:t>
          </a:r>
        </a:p>
      </cx:txPr>
    </cx:title>
    <cx:plotArea>
      <cx:plotAreaRegion>
        <cx:series layoutId="clusteredColumn" uniqueId="{F0C4A960-2C48-48A1-86D2-15D4C1410313}">
          <cx:tx>
            <cx:txData>
              <cx:f>_xlchart.v1.2</cx:f>
              <cx:v>Tiempo_Entrega</cx:v>
            </cx:txData>
          </cx:tx>
          <cx:dataId val="0"/>
          <cx:layoutPr>
            <cx:binning intervalClosed="r"/>
          </cx:layoutPr>
        </cx:series>
      </cx:plotAreaRegion>
      <cx:axis id="0">
        <cx:catScaling gapWidth="0"/>
        <cx:tickLabels/>
      </cx:axis>
      <cx:axis id="1">
        <cx:valScaling/>
        <cx:majorGridlines/>
        <cx:tickLabels/>
      </cx:axis>
    </cx:plotArea>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numDim type="val">
        <cx:f>_xlchart.v1.5</cx:f>
      </cx:numDim>
    </cx:data>
  </cx:chartData>
  <cx:chart>
    <cx:title pos="t" align="ctr" overlay="0">
      <cx:tx>
        <cx:txData>
          <cx:v>Tiempo de entrega</cx:v>
        </cx:txData>
      </cx:tx>
      <cx:txPr>
        <a:bodyPr spcFirstLastPara="1" vertOverflow="ellipsis" horzOverflow="overflow" wrap="square" lIns="0" tIns="0" rIns="0" bIns="0" anchor="ctr" anchorCtr="1"/>
        <a:lstStyle/>
        <a:p>
          <a:pPr algn="ctr" rtl="0">
            <a:defRPr/>
          </a:pPr>
          <a:r>
            <a:rPr lang="es-ES" sz="1400" b="0" i="0" u="none" strike="noStrike" baseline="0">
              <a:solidFill>
                <a:sysClr val="windowText" lastClr="000000">
                  <a:lumMod val="65000"/>
                  <a:lumOff val="35000"/>
                </a:sysClr>
              </a:solidFill>
              <a:latin typeface="Calibri" panose="020F0502020204030204"/>
            </a:rPr>
            <a:t>Tiempo de entrega</a:t>
          </a:r>
        </a:p>
      </cx:txPr>
    </cx:title>
    <cx:plotArea>
      <cx:plotAreaRegion>
        <cx:series layoutId="clusteredColumn" uniqueId="{F0C4A960-2C48-48A1-86D2-15D4C1410313}">
          <cx:tx>
            <cx:txData>
              <cx:f>_xlchart.v1.4</cx:f>
              <cx:v>Tiempo_Entrega</cx:v>
            </cx:txData>
          </cx:tx>
          <cx:dataId val="0"/>
          <cx:layoutPr>
            <cx:binning intervalClosed="r"/>
          </cx:layoutPr>
        </cx:series>
      </cx:plotAreaRegion>
      <cx:axis id="0">
        <cx:catScaling gapWidth="0"/>
        <cx:tickLabels/>
      </cx:axis>
      <cx:axis id="1">
        <cx:valScaling/>
        <cx:majorGridlines/>
        <cx:tickLabels/>
      </cx:axis>
    </cx:plotArea>
  </cx:chart>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_xlchart.v1.6</cx:f>
      </cx:strDim>
      <cx:numDim type="val">
        <cx:f>_xlchart.v1.7</cx:f>
      </cx:numDim>
    </cx:data>
  </cx:chartData>
  <cx:chart>
    <cx:title pos="t" align="ctr" overlay="0">
      <cx:tx>
        <cx:txData>
          <cx:v>Ingresos Netos</cx:v>
        </cx:txData>
      </cx:tx>
      <cx:txPr>
        <a:bodyPr spcFirstLastPara="1" vertOverflow="ellipsis" horzOverflow="overflow" wrap="square" lIns="0" tIns="0" rIns="0" bIns="0" anchor="ctr" anchorCtr="1"/>
        <a:lstStyle/>
        <a:p>
          <a:pPr algn="ctr" rtl="0">
            <a:defRPr/>
          </a:pPr>
          <a:r>
            <a:rPr lang="es-ES" sz="1400" b="0" i="0" u="none" strike="noStrike" baseline="0">
              <a:solidFill>
                <a:sysClr val="windowText" lastClr="000000">
                  <a:lumMod val="65000"/>
                  <a:lumOff val="35000"/>
                </a:sysClr>
              </a:solidFill>
              <a:latin typeface="Calibri" panose="020F0502020204030204"/>
            </a:rPr>
            <a:t>Ingresos Netos</a:t>
          </a:r>
        </a:p>
      </cx:txPr>
    </cx:title>
    <cx:plotArea>
      <cx:plotAreaRegion>
        <cx:series layoutId="waterfall" uniqueId="{F1715C52-9751-4676-B932-80B82CA42973}">
          <cx:dataLabels pos="outEnd">
            <cx:visibility seriesName="0" categoryName="0" value="1"/>
          </cx:dataLabels>
          <cx:dataId val="0"/>
          <cx:layoutPr>
            <cx:subtotals/>
          </cx:layoutPr>
        </cx:series>
      </cx:plotAreaRegion>
      <cx:axis id="0">
        <cx:catScaling gapWidth="0.5"/>
        <cx:tickLabels/>
      </cx:axis>
      <cx:axis id="1">
        <cx:valScaling/>
        <cx:majorGridlines/>
        <cx:tickLabels/>
      </cx:axis>
    </cx:plotArea>
    <cx:legend pos="t" align="ctr" overlay="0"/>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70">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cs:chartArea>
  <cs:dataLabel>
    <cs:lnRef idx="0"/>
    <cs:fillRef idx="0"/>
    <cs:effectRef idx="0"/>
    <cs:fontRef idx="minor">
      <a:schemeClr val="lt1">
        <a:lumMod val="9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ln>
        <a:solidFill>
          <a:schemeClr val="tx1"/>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1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600" b="1" spc="10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370">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cs:chartArea>
  <cs:dataLabel>
    <cs:lnRef idx="0"/>
    <cs:fillRef idx="0"/>
    <cs:effectRef idx="0"/>
    <cs:fontRef idx="minor">
      <a:schemeClr val="lt1">
        <a:lumMod val="9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ln>
        <a:solidFill>
          <a:schemeClr val="tx1"/>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1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600" b="1" spc="10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370">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cs:chartArea>
  <cs:dataLabel>
    <cs:lnRef idx="0"/>
    <cs:fillRef idx="0"/>
    <cs:effectRef idx="0"/>
    <cs:fontRef idx="minor">
      <a:schemeClr val="lt1">
        <a:lumMod val="9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ln>
        <a:solidFill>
          <a:schemeClr val="tx1"/>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1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600" b="1" spc="10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46">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spPr>
      <a:ln w="9525" cap="rnd">
        <a:solidFill>
          <a:schemeClr val="dk1">
            <a:lumMod val="20000"/>
            <a:lumOff val="80000"/>
          </a:schemeClr>
        </a:solidFill>
        <a:round/>
      </a:ln>
    </cs:spPr>
    <cs:defRPr sz="900" kern="120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effectRef idx="1"/>
    <cs:fontRef idx="minor">
      <a:schemeClr val="dk1"/>
    </cs:fontRef>
    <cs:spPr>
      <a:ln w="9525" cap="flat" cmpd="sng" algn="ctr">
        <a:solidFill>
          <a:schemeClr val="phClr">
            <a:alpha val="70000"/>
          </a:schemeClr>
        </a:solidFill>
        <a:prstDash val="sysDot"/>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rnd">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rnd">
        <a:solidFill>
          <a:schemeClr val="dk1">
            <a:lumMod val="65000"/>
            <a:lumOff val="35000"/>
          </a:schemeClr>
        </a:solidFill>
        <a:round/>
      </a:ln>
    </cs:spPr>
  </cs:downBar>
  <cs:dropLine>
    <cs:lnRef idx="0"/>
    <cs:fillRef idx="0"/>
    <cs:effectRef idx="0"/>
    <cs:fontRef idx="minor">
      <a:schemeClr val="dk1"/>
    </cs:fontRef>
    <cs:spPr>
      <a:ln w="9525" cap="rnd">
        <a:solidFill>
          <a:schemeClr val="dk1">
            <a:lumMod val="35000"/>
            <a:lumOff val="65000"/>
          </a:schemeClr>
        </a:solidFill>
        <a:round/>
      </a:ln>
    </cs:spPr>
  </cs:dropLine>
  <cs:errorBar>
    <cs:lnRef idx="0"/>
    <cs:fillRef idx="0"/>
    <cs:effectRef idx="0"/>
    <cs:fontRef idx="minor">
      <a:schemeClr val="dk1"/>
    </cs:fontRef>
    <cs:spPr>
      <a:ln w="9525" cap="rnd">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rnd">
        <a:solidFill>
          <a:schemeClr val="dk1">
            <a:lumMod val="35000"/>
            <a:lumOff val="65000"/>
          </a:schemeClr>
        </a:solidFill>
        <a:round/>
      </a:ln>
    </cs:spPr>
  </cs:hiLoLine>
  <cs:leaderLine>
    <cs:lnRef idx="0"/>
    <cs:fillRef idx="0"/>
    <cs:effectRef idx="0"/>
    <cs:fontRef idx="minor">
      <a:schemeClr val="dk1"/>
    </cs:fontRef>
    <cs:spPr>
      <a:ln w="9525" cap="rnd">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spc="0" baseline="0"/>
  </cs:legend>
  <cs:plotArea>
    <cs:lnRef idx="0"/>
    <cs:fillRef idx="0"/>
    <cs:effectRef idx="0"/>
    <cs:fontRef idx="minor">
      <a:schemeClr val="dk1"/>
    </cs:fontRef>
    <cs:spPr>
      <a:gradFill>
        <a:gsLst>
          <a:gs pos="100000">
            <a:schemeClr val="lt1">
              <a:lumMod val="95000"/>
            </a:schemeClr>
          </a:gs>
          <a:gs pos="0">
            <a:schemeClr val="lt1">
              <a:alpha val="0"/>
            </a:schemeClr>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rnd">
        <a:solidFill>
          <a:schemeClr val="dk1">
            <a:lumMod val="20000"/>
            <a:lumOff val="80000"/>
          </a:schemeClr>
        </a:solidFill>
        <a:round/>
      </a:ln>
    </cs:spPr>
    <cs:defRPr sz="900" kern="1200"/>
  </cs:seriesAxis>
  <cs:seriesLine>
    <cs:lnRef idx="0"/>
    <cs:fillRef idx="0"/>
    <cs:effectRef idx="0"/>
    <cs:fontRef idx="minor">
      <a:schemeClr val="dk1"/>
    </cs:fontRef>
    <cs:spPr>
      <a:ln w="9525" cap="rnd">
        <a:solidFill>
          <a:schemeClr val="dk1">
            <a:lumMod val="35000"/>
            <a:lumOff val="65000"/>
          </a:schemeClr>
        </a:solidFill>
        <a:round/>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cs:spPr>
  </cs:upBar>
  <cs:valueAxis>
    <cs:lnRef idx="0"/>
    <cs:fillRef idx="0"/>
    <cs:effectRef idx="0"/>
    <cs:fontRef idx="minor">
      <a:schemeClr val="dk1">
        <a:lumMod val="65000"/>
        <a:lumOff val="35000"/>
      </a:schemeClr>
    </cs:fontRef>
    <cs:spPr>
      <a:ln w="9525" cap="rnd">
        <a:solidFill>
          <a:schemeClr val="dk1">
            <a:lumMod val="25000"/>
            <a:lumOff val="75000"/>
          </a:schemeClr>
        </a:solidFill>
        <a:round/>
      </a:ln>
    </cs:spPr>
    <cs:defRPr sz="900" kern="1200" spc="0" baseline="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320">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75000"/>
      </a:schemeClr>
    </cs:fontRef>
    <cs:spPr>
      <a:solidFill>
        <a:schemeClr val="dk1">
          <a:lumMod val="75000"/>
          <a:lumOff val="25000"/>
        </a:schemeClr>
      </a:solidFill>
      <a:ln>
        <a:solidFill>
          <a:schemeClr val="lt1">
            <a:lumMod val="75000"/>
          </a:schemeClr>
        </a:solidFill>
      </a:ln>
      <a:effectLst>
        <a:glow rad="63500">
          <a:schemeClr val="lt1">
            <a:lumMod val="75000"/>
            <a:alpha val="15000"/>
          </a:schemeClr>
        </a:glow>
      </a:effectLst>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styleClr val="auto"/>
    </cs:effectRef>
    <cs:fontRef idx="minor">
      <a:schemeClr val="dk1"/>
    </cs:fontRef>
    <cs:spPr>
      <a:solidFill>
        <a:schemeClr val="phClr">
          <a:alpha val="69804"/>
        </a:schemeClr>
      </a:solidFill>
      <a:ln w="9525" cap="flat" cmpd="sng" algn="ctr">
        <a:solidFill>
          <a:schemeClr val="phClr">
            <a:alpha val="69804"/>
          </a:schemeClr>
        </a:solidFill>
        <a:miter lim="800000"/>
      </a:ln>
      <a:effectLst>
        <a:glow rad="76200">
          <a:schemeClr val="phClr">
            <a:satMod val="175000"/>
            <a:alpha val="34000"/>
          </a:schemeClr>
        </a:glow>
      </a:effectLst>
    </cs:spPr>
  </cs:dataPoint>
  <cs:dataPoint3D>
    <cs:lnRef idx="0">
      <cs:styleClr val="auto"/>
    </cs:lnRef>
    <cs:fillRef idx="0">
      <cs:styleClr val="auto"/>
    </cs:fillRef>
    <cs:effectRef idx="0">
      <cs:styleClr val="auto"/>
    </cs:effectRef>
    <cs:fontRef idx="minor">
      <a:schemeClr val="dk1"/>
    </cs:fontRef>
    <cs:spPr>
      <a:solidFill>
        <a:schemeClr val="phClr">
          <a:alpha val="69804"/>
        </a:schemeClr>
      </a:solidFill>
      <a:ln w="9525" cap="flat" cmpd="sng" algn="ctr">
        <a:solidFill>
          <a:schemeClr val="phClr">
            <a:alpha val="69804"/>
          </a:schemeClr>
        </a:solidFill>
        <a:miter lim="800000"/>
      </a:ln>
      <a:effectLst>
        <a:glow rad="76200">
          <a:schemeClr val="phClr">
            <a:satMod val="175000"/>
            <a:alpha val="34000"/>
          </a:schemeClr>
        </a:glow>
      </a:effectLst>
    </cs:spPr>
  </cs:dataPoint3D>
  <cs:dataPointLine>
    <cs:lnRef idx="0">
      <cs:styleClr val="auto"/>
    </cs:lnRef>
    <cs:fillRef idx="0">
      <cs:styleClr val="auto"/>
    </cs:fillRef>
    <cs:effectRef idx="0">
      <cs:styleClr val="auto"/>
    </cs:effectRef>
    <cs:fontRef idx="minor">
      <a:schemeClr val="dk1"/>
    </cs:fontRef>
    <cs:spPr>
      <a:ln w="28575" cap="rnd">
        <a:solidFill>
          <a:schemeClr val="phClr"/>
        </a:solidFill>
      </a:ln>
      <a:effectLst>
        <a:glow rad="76200">
          <a:schemeClr val="phClr">
            <a:satMod val="175000"/>
            <a:alpha val="3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lt1">
            <a:alpha val="20000"/>
          </a:schemeClr>
        </a:solidFill>
        <a:round/>
      </a:ln>
    </cs:spPr>
  </cs:gridlineMajor>
  <cs:gridlineMinor>
    <cs:lnRef idx="0"/>
    <cs:fillRef idx="0"/>
    <cs:effectRef idx="0"/>
    <cs:fontRef idx="minor">
      <a:schemeClr val="dk1"/>
    </cs:fontRef>
    <cs:spPr>
      <a:ln w="9525" cap="flat" cmpd="sng" algn="ctr">
        <a:solidFill>
          <a:schemeClr val="lt1">
            <a:alpha val="20000"/>
          </a:schemeClr>
        </a:soli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0" kern="1200" cap="none" spc="50"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trlProps/ctrlProp1.xml><?xml version="1.0" encoding="utf-8"?>
<formControlPr xmlns="http://schemas.microsoft.com/office/spreadsheetml/2009/9/main" objectType="Button" lockText="1"/>
</file>

<file path=xl/ctrlProps/ctrlProp2.xml><?xml version="1.0" encoding="utf-8"?>
<formControlPr xmlns="http://schemas.microsoft.com/office/spreadsheetml/2009/9/main" objectType="Button" lockText="1"/>
</file>

<file path=xl/drawings/_rels/drawing1.xml.rels><?xml version="1.0" encoding="UTF-8" standalone="yes"?>
<Relationships xmlns="http://schemas.openxmlformats.org/package/2006/relationships"><Relationship Id="rId2" Type="http://schemas.microsoft.com/office/2014/relationships/chartEx" Target="../charts/chartEx2.xml"/><Relationship Id="rId1" Type="http://schemas.microsoft.com/office/2014/relationships/chartEx" Target="../charts/chartEx1.xml"/></Relationships>
</file>

<file path=xl/drawings/_rels/drawing2.xml.rels><?xml version="1.0" encoding="UTF-8" standalone="yes"?>
<Relationships xmlns="http://schemas.openxmlformats.org/package/2006/relationships"><Relationship Id="rId1" Type="http://schemas.microsoft.com/office/2014/relationships/chartEx" Target="../charts/chartEx3.xml"/></Relationships>
</file>

<file path=xl/drawings/_rels/drawing3.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4.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microsoft.com/office/2014/relationships/chartEx" Target="../charts/chartEx4.xml"/></Relationships>
</file>

<file path=xl/drawings/drawing1.xml><?xml version="1.0" encoding="utf-8"?>
<xdr:wsDr xmlns:xdr="http://schemas.openxmlformats.org/drawingml/2006/spreadsheetDrawing" xmlns:a="http://schemas.openxmlformats.org/drawingml/2006/main">
  <xdr:twoCellAnchor>
    <xdr:from>
      <xdr:col>3</xdr:col>
      <xdr:colOff>19050</xdr:colOff>
      <xdr:row>1</xdr:row>
      <xdr:rowOff>0</xdr:rowOff>
    </xdr:from>
    <xdr:to>
      <xdr:col>9</xdr:col>
      <xdr:colOff>19050</xdr:colOff>
      <xdr:row>15</xdr:row>
      <xdr:rowOff>76200</xdr:rowOff>
    </xdr:to>
    <mc:AlternateContent xmlns:mc="http://schemas.openxmlformats.org/markup-compatibility/2006">
      <mc:Choice xmlns:cx1="http://schemas.microsoft.com/office/drawing/2015/9/8/chartex" Requires="cx1">
        <xdr:graphicFrame macro="">
          <xdr:nvGraphicFramePr>
            <xdr:cNvPr id="2" name="Gráfico 1">
              <a:extLst>
                <a:ext uri="{FF2B5EF4-FFF2-40B4-BE49-F238E27FC236}">
                  <a16:creationId xmlns:a16="http://schemas.microsoft.com/office/drawing/2014/main" id="{9E8AA23D-8002-4DE6-BF75-7D359210F01B}"/>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2609850" y="190500"/>
              <a:ext cx="4572000" cy="2743200"/>
            </a:xfrm>
            <a:prstGeom prst="rect">
              <a:avLst/>
            </a:prstGeom>
            <a:solidFill>
              <a:prstClr val="white"/>
            </a:solidFill>
            <a:ln w="1">
              <a:solidFill>
                <a:prstClr val="green"/>
              </a:solidFill>
            </a:ln>
          </xdr:spPr>
          <xdr:txBody>
            <a:bodyPr vertOverflow="clip" horzOverflow="clip"/>
            <a:lstStyle/>
            <a:p>
              <a:r>
                <a:rPr lang="es-MX" sz="1100"/>
                <a:t>Este gráfico no está disponible en su versión de Excel.
Si edita esta forma o guarda el libro en un formato de archivo diferente, el gráfico no se podrá utilizar.</a:t>
              </a:r>
            </a:p>
          </xdr:txBody>
        </xdr:sp>
      </mc:Fallback>
    </mc:AlternateContent>
    <xdr:clientData/>
  </xdr:twoCellAnchor>
  <xdr:twoCellAnchor>
    <xdr:from>
      <xdr:col>0</xdr:col>
      <xdr:colOff>152400</xdr:colOff>
      <xdr:row>17</xdr:row>
      <xdr:rowOff>76200</xdr:rowOff>
    </xdr:from>
    <xdr:to>
      <xdr:col>5</xdr:col>
      <xdr:colOff>609600</xdr:colOff>
      <xdr:row>31</xdr:row>
      <xdr:rowOff>152400</xdr:rowOff>
    </xdr:to>
    <mc:AlternateContent xmlns:mc="http://schemas.openxmlformats.org/markup-compatibility/2006">
      <mc:Choice xmlns:cx1="http://schemas.microsoft.com/office/drawing/2015/9/8/chartex" Requires="cx1">
        <xdr:graphicFrame macro="">
          <xdr:nvGraphicFramePr>
            <xdr:cNvPr id="3" name="Gráfico 2">
              <a:extLst>
                <a:ext uri="{FF2B5EF4-FFF2-40B4-BE49-F238E27FC236}">
                  <a16:creationId xmlns:a16="http://schemas.microsoft.com/office/drawing/2014/main" id="{27F7B42E-B71F-41CC-A2D7-316473BD276A}"/>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152400" y="3314700"/>
              <a:ext cx="4572000" cy="2743200"/>
            </a:xfrm>
            <a:prstGeom prst="rect">
              <a:avLst/>
            </a:prstGeom>
            <a:solidFill>
              <a:prstClr val="white"/>
            </a:solidFill>
            <a:ln w="1">
              <a:solidFill>
                <a:prstClr val="green"/>
              </a:solidFill>
            </a:ln>
          </xdr:spPr>
          <xdr:txBody>
            <a:bodyPr vertOverflow="clip" horzOverflow="clip"/>
            <a:lstStyle/>
            <a:p>
              <a:r>
                <a:rPr lang="es-MX" sz="1100"/>
                <a:t>Este gráfico no está disponible en su versión de Excel.
Si edita esta forma o guarda el libro en un formato de archivo diferente, el gráfico no se podrá utilizar.</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22</xdr:col>
      <xdr:colOff>95250</xdr:colOff>
      <xdr:row>22</xdr:row>
      <xdr:rowOff>76200</xdr:rowOff>
    </xdr:from>
    <xdr:to>
      <xdr:col>26</xdr:col>
      <xdr:colOff>1619250</xdr:colOff>
      <xdr:row>36</xdr:row>
      <xdr:rowOff>152400</xdr:rowOff>
    </xdr:to>
    <mc:AlternateContent xmlns:mc="http://schemas.openxmlformats.org/markup-compatibility/2006">
      <mc:Choice xmlns:cx1="http://schemas.microsoft.com/office/drawing/2015/9/8/chartex" Requires="cx1">
        <xdr:graphicFrame macro="">
          <xdr:nvGraphicFramePr>
            <xdr:cNvPr id="4" name="Gráfico 3">
              <a:extLst>
                <a:ext uri="{FF2B5EF4-FFF2-40B4-BE49-F238E27FC236}">
                  <a16:creationId xmlns:a16="http://schemas.microsoft.com/office/drawing/2014/main" id="{43E5895B-A050-40AF-ACC1-D25B037FE82D}"/>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17764125" y="4324350"/>
              <a:ext cx="4572000" cy="2743200"/>
            </a:xfrm>
            <a:prstGeom prst="rect">
              <a:avLst/>
            </a:prstGeom>
            <a:solidFill>
              <a:prstClr val="white"/>
            </a:solidFill>
            <a:ln w="1">
              <a:solidFill>
                <a:prstClr val="green"/>
              </a:solidFill>
            </a:ln>
          </xdr:spPr>
          <xdr:txBody>
            <a:bodyPr vertOverflow="clip" horzOverflow="clip"/>
            <a:lstStyle/>
            <a:p>
              <a:r>
                <a:rPr lang="es-MX" sz="1100"/>
                <a:t>Este gráfico no está disponible en su versión de Excel.
Si edita esta forma o guarda el libro en un formato de archivo diferente, el gráfico no se podrá utilizar.</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9</xdr:col>
      <xdr:colOff>361950</xdr:colOff>
      <xdr:row>1</xdr:row>
      <xdr:rowOff>28575</xdr:rowOff>
    </xdr:from>
    <xdr:to>
      <xdr:col>15</xdr:col>
      <xdr:colOff>361950</xdr:colOff>
      <xdr:row>15</xdr:row>
      <xdr:rowOff>104775</xdr:rowOff>
    </xdr:to>
    <xdr:graphicFrame macro="">
      <xdr:nvGraphicFramePr>
        <xdr:cNvPr id="3" name="Gráfico 2">
          <a:extLst>
            <a:ext uri="{FF2B5EF4-FFF2-40B4-BE49-F238E27FC236}">
              <a16:creationId xmlns:a16="http://schemas.microsoft.com/office/drawing/2014/main" id="{247154BC-7337-4B71-8FF2-EAB06F1EF21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361950</xdr:colOff>
      <xdr:row>17</xdr:row>
      <xdr:rowOff>38100</xdr:rowOff>
    </xdr:from>
    <xdr:to>
      <xdr:col>15</xdr:col>
      <xdr:colOff>361950</xdr:colOff>
      <xdr:row>31</xdr:row>
      <xdr:rowOff>114300</xdr:rowOff>
    </xdr:to>
    <xdr:graphicFrame macro="">
      <xdr:nvGraphicFramePr>
        <xdr:cNvPr id="4" name="Gráfico 3">
          <a:extLst>
            <a:ext uri="{FF2B5EF4-FFF2-40B4-BE49-F238E27FC236}">
              <a16:creationId xmlns:a16="http://schemas.microsoft.com/office/drawing/2014/main" id="{89CF5B81-79F1-473D-8221-EC56767DB58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0</xdr:colOff>
      <xdr:row>21</xdr:row>
      <xdr:rowOff>176212</xdr:rowOff>
    </xdr:from>
    <xdr:to>
      <xdr:col>11</xdr:col>
      <xdr:colOff>0</xdr:colOff>
      <xdr:row>36</xdr:row>
      <xdr:rowOff>61912</xdr:rowOff>
    </xdr:to>
    <xdr:graphicFrame macro="">
      <xdr:nvGraphicFramePr>
        <xdr:cNvPr id="5" name="Gráfico 4">
          <a:extLst>
            <a:ext uri="{FF2B5EF4-FFF2-40B4-BE49-F238E27FC236}">
              <a16:creationId xmlns:a16="http://schemas.microsoft.com/office/drawing/2014/main" id="{13EF7178-D7EB-4C47-30B8-BB406D75767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19049</xdr:colOff>
      <xdr:row>51</xdr:row>
      <xdr:rowOff>128587</xdr:rowOff>
    </xdr:from>
    <xdr:to>
      <xdr:col>8</xdr:col>
      <xdr:colOff>761999</xdr:colOff>
      <xdr:row>66</xdr:row>
      <xdr:rowOff>14287</xdr:rowOff>
    </xdr:to>
    <xdr:graphicFrame macro="">
      <xdr:nvGraphicFramePr>
        <xdr:cNvPr id="7" name="Gráfico 6">
          <a:extLst>
            <a:ext uri="{FF2B5EF4-FFF2-40B4-BE49-F238E27FC236}">
              <a16:creationId xmlns:a16="http://schemas.microsoft.com/office/drawing/2014/main" id="{3D720A3F-EAE7-70DE-8361-92C5F3C158A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2</xdr:col>
      <xdr:colOff>704850</xdr:colOff>
      <xdr:row>37</xdr:row>
      <xdr:rowOff>47625</xdr:rowOff>
    </xdr:from>
    <xdr:to>
      <xdr:col>5</xdr:col>
      <xdr:colOff>133350</xdr:colOff>
      <xdr:row>50</xdr:row>
      <xdr:rowOff>95250</xdr:rowOff>
    </xdr:to>
    <mc:AlternateContent xmlns:mc="http://schemas.openxmlformats.org/markup-compatibility/2006" xmlns:a14="http://schemas.microsoft.com/office/drawing/2010/main">
      <mc:Choice Requires="a14">
        <xdr:graphicFrame macro="">
          <xdr:nvGraphicFramePr>
            <xdr:cNvPr id="8" name="Fecha">
              <a:extLst>
                <a:ext uri="{FF2B5EF4-FFF2-40B4-BE49-F238E27FC236}">
                  <a16:creationId xmlns:a16="http://schemas.microsoft.com/office/drawing/2014/main" id="{2E141688-35E4-FFC7-52F3-505821C341BE}"/>
                </a:ext>
              </a:extLst>
            </xdr:cNvPr>
            <xdr:cNvGraphicFramePr/>
          </xdr:nvGraphicFramePr>
          <xdr:xfrm>
            <a:off x="0" y="0"/>
            <a:ext cx="0" cy="0"/>
          </xdr:xfrm>
          <a:graphic>
            <a:graphicData uri="http://schemas.microsoft.com/office/drawing/2010/slicer">
              <sle:slicer xmlns:sle="http://schemas.microsoft.com/office/drawing/2010/slicer" name="Fecha"/>
            </a:graphicData>
          </a:graphic>
        </xdr:graphicFrame>
      </mc:Choice>
      <mc:Fallback xmlns="">
        <xdr:sp macro="" textlink="">
          <xdr:nvSpPr>
            <xdr:cNvPr id="0" name=""/>
            <xdr:cNvSpPr>
              <a:spLocks noTextEdit="1"/>
            </xdr:cNvSpPr>
          </xdr:nvSpPr>
          <xdr:spPr>
            <a:xfrm>
              <a:off x="3486150" y="7096125"/>
              <a:ext cx="1828800" cy="2524125"/>
            </a:xfrm>
            <a:prstGeom prst="rect">
              <a:avLst/>
            </a:prstGeom>
            <a:solidFill>
              <a:prstClr val="white"/>
            </a:solidFill>
            <a:ln w="1">
              <a:solidFill>
                <a:prstClr val="green"/>
              </a:solidFill>
            </a:ln>
          </xdr:spPr>
          <xdr:txBody>
            <a:bodyPr vertOverflow="clip" horzOverflow="clip"/>
            <a:lstStyle/>
            <a:p>
              <a:r>
                <a:rPr lang="es-MX" sz="1100"/>
                <a:t>Esta forma representa una segmentación de datos. La segmentación de datos se admite en Excel 2010 y versiones posteriores.
Si la forma se modificó en una versión anterior de Excel o si el libro se guardó en Excel 2003 o una versión anterior, no se puede usar la segmentación de datos.</a:t>
              </a:r>
            </a:p>
          </xdr:txBody>
        </xdr:sp>
      </mc:Fallback>
    </mc:AlternateContent>
    <xdr:clientData/>
  </xdr:twoCellAnchor>
  <xdr:twoCellAnchor editAs="oneCell">
    <xdr:from>
      <xdr:col>5</xdr:col>
      <xdr:colOff>266700</xdr:colOff>
      <xdr:row>37</xdr:row>
      <xdr:rowOff>57150</xdr:rowOff>
    </xdr:from>
    <xdr:to>
      <xdr:col>6</xdr:col>
      <xdr:colOff>923925</xdr:colOff>
      <xdr:row>50</xdr:row>
      <xdr:rowOff>104775</xdr:rowOff>
    </xdr:to>
    <mc:AlternateContent xmlns:mc="http://schemas.openxmlformats.org/markup-compatibility/2006" xmlns:a14="http://schemas.microsoft.com/office/drawing/2010/main">
      <mc:Choice Requires="a14">
        <xdr:graphicFrame macro="">
          <xdr:nvGraphicFramePr>
            <xdr:cNvPr id="9" name="Region">
              <a:extLst>
                <a:ext uri="{FF2B5EF4-FFF2-40B4-BE49-F238E27FC236}">
                  <a16:creationId xmlns:a16="http://schemas.microsoft.com/office/drawing/2014/main" id="{7AAC5138-2AF3-F6D3-51C1-7620C8C91C64}"/>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5448300" y="7105650"/>
              <a:ext cx="1828800" cy="2524125"/>
            </a:xfrm>
            <a:prstGeom prst="rect">
              <a:avLst/>
            </a:prstGeom>
            <a:solidFill>
              <a:prstClr val="white"/>
            </a:solidFill>
            <a:ln w="1">
              <a:solidFill>
                <a:prstClr val="green"/>
              </a:solidFill>
            </a:ln>
          </xdr:spPr>
          <xdr:txBody>
            <a:bodyPr vertOverflow="clip" horzOverflow="clip"/>
            <a:lstStyle/>
            <a:p>
              <a:r>
                <a:rPr lang="es-MX" sz="1100"/>
                <a:t>Esta forma representa una segmentación de datos. La segmentación de datos se admite en Excel 2010 y versiones posteriores.
Si la forma se modificó en una versión anterior de Excel o si el libro se guardó en Excel 2003 o una versión anterior, no se puede usar la segmentación de datos.</a:t>
              </a:r>
            </a:p>
          </xdr:txBody>
        </xdr:sp>
      </mc:Fallback>
    </mc:AlternateContent>
    <xdr:clientData/>
  </xdr:twoCellAnchor>
  <xdr:twoCellAnchor editAs="oneCell">
    <xdr:from>
      <xdr:col>6</xdr:col>
      <xdr:colOff>1057275</xdr:colOff>
      <xdr:row>37</xdr:row>
      <xdr:rowOff>57150</xdr:rowOff>
    </xdr:from>
    <xdr:to>
      <xdr:col>8</xdr:col>
      <xdr:colOff>142875</xdr:colOff>
      <xdr:row>50</xdr:row>
      <xdr:rowOff>104775</xdr:rowOff>
    </xdr:to>
    <mc:AlternateContent xmlns:mc="http://schemas.openxmlformats.org/markup-compatibility/2006" xmlns:a14="http://schemas.microsoft.com/office/drawing/2010/main">
      <mc:Choice Requires="a14">
        <xdr:graphicFrame macro="">
          <xdr:nvGraphicFramePr>
            <xdr:cNvPr id="10" name="Canal_Venta">
              <a:extLst>
                <a:ext uri="{FF2B5EF4-FFF2-40B4-BE49-F238E27FC236}">
                  <a16:creationId xmlns:a16="http://schemas.microsoft.com/office/drawing/2014/main" id="{E0ECF21E-C4DC-1479-0B5B-A8CFA6820C49}"/>
                </a:ext>
              </a:extLst>
            </xdr:cNvPr>
            <xdr:cNvGraphicFramePr/>
          </xdr:nvGraphicFramePr>
          <xdr:xfrm>
            <a:off x="0" y="0"/>
            <a:ext cx="0" cy="0"/>
          </xdr:xfrm>
          <a:graphic>
            <a:graphicData uri="http://schemas.microsoft.com/office/drawing/2010/slicer">
              <sle:slicer xmlns:sle="http://schemas.microsoft.com/office/drawing/2010/slicer" name="Canal_Venta"/>
            </a:graphicData>
          </a:graphic>
        </xdr:graphicFrame>
      </mc:Choice>
      <mc:Fallback xmlns="">
        <xdr:sp macro="" textlink="">
          <xdr:nvSpPr>
            <xdr:cNvPr id="0" name=""/>
            <xdr:cNvSpPr>
              <a:spLocks noTextEdit="1"/>
            </xdr:cNvSpPr>
          </xdr:nvSpPr>
          <xdr:spPr>
            <a:xfrm>
              <a:off x="7410450" y="7105650"/>
              <a:ext cx="1828800" cy="2524125"/>
            </a:xfrm>
            <a:prstGeom prst="rect">
              <a:avLst/>
            </a:prstGeom>
            <a:solidFill>
              <a:prstClr val="white"/>
            </a:solidFill>
            <a:ln w="1">
              <a:solidFill>
                <a:prstClr val="green"/>
              </a:solidFill>
            </a:ln>
          </xdr:spPr>
          <xdr:txBody>
            <a:bodyPr vertOverflow="clip" horzOverflow="clip"/>
            <a:lstStyle/>
            <a:p>
              <a:r>
                <a:rPr lang="es-MX" sz="1100"/>
                <a:t>Esta forma representa una segmentación de datos. La segmentación de datos se admite en Excel 2010 y versiones posteriores.
Si la forma se modificó en una versión anterior de Excel o si el libro se guardó en Excel 2003 o una versión anterior, no se puede usar la segmentación de datos.</a:t>
              </a:r>
            </a:p>
          </xdr:txBody>
        </xdr:sp>
      </mc:Fallback>
    </mc:AlternateContent>
    <xdr:clientData/>
  </xdr:twoCellAnchor>
  <xdr:twoCellAnchor editAs="oneCell">
    <xdr:from>
      <xdr:col>8</xdr:col>
      <xdr:colOff>276225</xdr:colOff>
      <xdr:row>37</xdr:row>
      <xdr:rowOff>66675</xdr:rowOff>
    </xdr:from>
    <xdr:to>
      <xdr:col>10</xdr:col>
      <xdr:colOff>581025</xdr:colOff>
      <xdr:row>50</xdr:row>
      <xdr:rowOff>114300</xdr:rowOff>
    </xdr:to>
    <mc:AlternateContent xmlns:mc="http://schemas.openxmlformats.org/markup-compatibility/2006" xmlns:a14="http://schemas.microsoft.com/office/drawing/2010/main">
      <mc:Choice Requires="a14">
        <xdr:graphicFrame macro="">
          <xdr:nvGraphicFramePr>
            <xdr:cNvPr id="11" name="Categoria">
              <a:extLst>
                <a:ext uri="{FF2B5EF4-FFF2-40B4-BE49-F238E27FC236}">
                  <a16:creationId xmlns:a16="http://schemas.microsoft.com/office/drawing/2014/main" id="{3A5E24CB-A86D-C6EA-C252-7A6A8263C8A7}"/>
                </a:ext>
              </a:extLst>
            </xdr:cNvPr>
            <xdr:cNvGraphicFramePr/>
          </xdr:nvGraphicFramePr>
          <xdr:xfrm>
            <a:off x="0" y="0"/>
            <a:ext cx="0" cy="0"/>
          </xdr:xfrm>
          <a:graphic>
            <a:graphicData uri="http://schemas.microsoft.com/office/drawing/2010/slicer">
              <sle:slicer xmlns:sle="http://schemas.microsoft.com/office/drawing/2010/slicer" name="Categoria"/>
            </a:graphicData>
          </a:graphic>
        </xdr:graphicFrame>
      </mc:Choice>
      <mc:Fallback xmlns="">
        <xdr:sp macro="" textlink="">
          <xdr:nvSpPr>
            <xdr:cNvPr id="0" name=""/>
            <xdr:cNvSpPr>
              <a:spLocks noTextEdit="1"/>
            </xdr:cNvSpPr>
          </xdr:nvSpPr>
          <xdr:spPr>
            <a:xfrm>
              <a:off x="9372600" y="7115175"/>
              <a:ext cx="1828800" cy="2524125"/>
            </a:xfrm>
            <a:prstGeom prst="rect">
              <a:avLst/>
            </a:prstGeom>
            <a:solidFill>
              <a:prstClr val="white"/>
            </a:solidFill>
            <a:ln w="1">
              <a:solidFill>
                <a:prstClr val="green"/>
              </a:solidFill>
            </a:ln>
          </xdr:spPr>
          <xdr:txBody>
            <a:bodyPr vertOverflow="clip" horzOverflow="clip"/>
            <a:lstStyle/>
            <a:p>
              <a:r>
                <a:rPr lang="es-MX" sz="1100"/>
                <a:t>Esta forma representa una segmentación de datos. La segmentación de datos se admite en Excel 2010 y versiones posteriores.
Si la forma se modificó en una versión anterior de Excel o si el libro se guardó en Excel 2003 o una versión anterior, no se puede usar la segmentación de datos.</a:t>
              </a:r>
            </a:p>
          </xdr:txBody>
        </xdr:sp>
      </mc:Fallback>
    </mc:AlternateContent>
    <xdr:clientData/>
  </xdr:twoCellAnchor>
  <mc:AlternateContent xmlns:mc="http://schemas.openxmlformats.org/markup-compatibility/2006">
    <mc:Choice xmlns:a14="http://schemas.microsoft.com/office/drawing/2010/main" Requires="a14">
      <xdr:twoCellAnchor editAs="oneCell">
        <xdr:from>
          <xdr:col>3</xdr:col>
          <xdr:colOff>742950</xdr:colOff>
          <xdr:row>0</xdr:row>
          <xdr:rowOff>142875</xdr:rowOff>
        </xdr:from>
        <xdr:to>
          <xdr:col>4</xdr:col>
          <xdr:colOff>666750</xdr:colOff>
          <xdr:row>2</xdr:row>
          <xdr:rowOff>0</xdr:rowOff>
        </xdr:to>
        <xdr:sp macro="" textlink="">
          <xdr:nvSpPr>
            <xdr:cNvPr id="11265" name="Button 1" hidden="1">
              <a:extLst>
                <a:ext uri="{63B3BB69-23CF-44E3-9099-C40C66FF867C}">
                  <a14:compatExt spid="_x0000_s11265"/>
                </a:ext>
                <a:ext uri="{FF2B5EF4-FFF2-40B4-BE49-F238E27FC236}">
                  <a16:creationId xmlns:a16="http://schemas.microsoft.com/office/drawing/2014/main" id="{00000000-0008-0000-0A00-0000012C0000}"/>
                </a:ext>
              </a:extLst>
            </xdr:cNvPr>
            <xdr:cNvSpPr/>
          </xdr:nvSpPr>
          <xdr:spPr bwMode="auto">
            <a:xfrm>
              <a:off x="0" y="0"/>
              <a:ext cx="0" cy="0"/>
            </a:xfrm>
            <a:prstGeom prst="rect">
              <a:avLst/>
            </a:prstGeom>
            <a:noFill/>
            <a:ln w="9525">
              <a:miter lim="800000"/>
              <a:headEnd/>
              <a:tailEnd/>
            </a:ln>
          </xdr:spPr>
          <xdr:txBody>
            <a:bodyPr vertOverflow="clip" wrap="square" lIns="27432" tIns="27432" rIns="27432" bIns="27432" anchor="ctr" upright="1"/>
            <a:lstStyle/>
            <a:p>
              <a:pPr algn="ctr" rtl="0">
                <a:defRPr sz="1000"/>
              </a:pPr>
              <a:r>
                <a:rPr lang="es-MX" sz="1100" b="0" i="0" u="none" strike="noStrike" baseline="0">
                  <a:solidFill>
                    <a:srgbClr val="000000"/>
                  </a:solidFill>
                  <a:latin typeface="Calibri"/>
                  <a:ea typeface="Calibri"/>
                  <a:cs typeface="Calibri"/>
                </a:rPr>
                <a:t>Actualizar</a:t>
              </a:r>
            </a:p>
            <a:p>
              <a:pPr algn="ctr" rtl="0">
                <a:defRPr sz="1000"/>
              </a:pPr>
              <a:endParaRPr lang="es-MX" sz="1100" b="0" i="0" u="none" strike="noStrike" baseline="0">
                <a:solidFill>
                  <a:srgbClr val="000000"/>
                </a:solidFill>
                <a:latin typeface="Calibri"/>
                <a:ea typeface="Calibri"/>
                <a:cs typeface="Calibri"/>
              </a:endParaRP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5</xdr:col>
          <xdr:colOff>171450</xdr:colOff>
          <xdr:row>1</xdr:row>
          <xdr:rowOff>9525</xdr:rowOff>
        </xdr:from>
        <xdr:to>
          <xdr:col>6</xdr:col>
          <xdr:colOff>19050</xdr:colOff>
          <xdr:row>2</xdr:row>
          <xdr:rowOff>38100</xdr:rowOff>
        </xdr:to>
        <xdr:sp macro="" textlink="">
          <xdr:nvSpPr>
            <xdr:cNvPr id="11266" name="Button 2" hidden="1">
              <a:extLst>
                <a:ext uri="{63B3BB69-23CF-44E3-9099-C40C66FF867C}">
                  <a14:compatExt spid="_x0000_s11266"/>
                </a:ext>
                <a:ext uri="{FF2B5EF4-FFF2-40B4-BE49-F238E27FC236}">
                  <a16:creationId xmlns:a16="http://schemas.microsoft.com/office/drawing/2014/main" id="{00000000-0008-0000-0A00-0000022C0000}"/>
                </a:ext>
              </a:extLst>
            </xdr:cNvPr>
            <xdr:cNvSpPr/>
          </xdr:nvSpPr>
          <xdr:spPr bwMode="auto">
            <a:xfrm>
              <a:off x="0" y="0"/>
              <a:ext cx="0" cy="0"/>
            </a:xfrm>
            <a:prstGeom prst="rect">
              <a:avLst/>
            </a:prstGeom>
            <a:noFill/>
            <a:ln w="9525">
              <a:miter lim="800000"/>
              <a:headEnd/>
              <a:tailEnd/>
            </a:ln>
          </xdr:spPr>
          <xdr:txBody>
            <a:bodyPr vertOverflow="clip" wrap="square" lIns="27432" tIns="27432" rIns="27432" bIns="27432" anchor="ctr" upright="1"/>
            <a:lstStyle/>
            <a:p>
              <a:pPr algn="ctr" rtl="0">
                <a:defRPr sz="1000"/>
              </a:pPr>
              <a:r>
                <a:rPr lang="es-MX" sz="1100" b="0" i="0" u="none" strike="noStrike" baseline="0">
                  <a:solidFill>
                    <a:srgbClr val="000000"/>
                  </a:solidFill>
                  <a:latin typeface="Calibri"/>
                  <a:ea typeface="Calibri"/>
                  <a:cs typeface="Calibri"/>
                </a:rPr>
                <a:t>Actualizar</a:t>
              </a:r>
            </a:p>
          </xdr:txBody>
        </xdr:sp>
        <xdr:clientData fPrintsWithSheet="0"/>
      </xdr:twoCellAnchor>
    </mc:Choice>
    <mc:Fallback/>
  </mc:AlternateContent>
</xdr:wsDr>
</file>

<file path=xl/drawings/drawing4.xml><?xml version="1.0" encoding="utf-8"?>
<xdr:wsDr xmlns:xdr="http://schemas.openxmlformats.org/drawingml/2006/spreadsheetDrawing" xmlns:a="http://schemas.openxmlformats.org/drawingml/2006/main">
  <xdr:twoCellAnchor>
    <xdr:from>
      <xdr:col>2</xdr:col>
      <xdr:colOff>695325</xdr:colOff>
      <xdr:row>42</xdr:row>
      <xdr:rowOff>100012</xdr:rowOff>
    </xdr:from>
    <xdr:to>
      <xdr:col>8</xdr:col>
      <xdr:colOff>695325</xdr:colOff>
      <xdr:row>56</xdr:row>
      <xdr:rowOff>176212</xdr:rowOff>
    </xdr:to>
    <mc:AlternateContent xmlns:mc="http://schemas.openxmlformats.org/markup-compatibility/2006">
      <mc:Choice xmlns:cx1="http://schemas.microsoft.com/office/drawing/2015/9/8/chartex" Requires="cx1">
        <xdr:graphicFrame macro="">
          <xdr:nvGraphicFramePr>
            <xdr:cNvPr id="2" name="Gráfico 1">
              <a:extLst>
                <a:ext uri="{FF2B5EF4-FFF2-40B4-BE49-F238E27FC236}">
                  <a16:creationId xmlns:a16="http://schemas.microsoft.com/office/drawing/2014/main" id="{C3332365-2F99-D6C5-3C1D-FF86AE08343D}"/>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2219325" y="8101012"/>
              <a:ext cx="4572000" cy="2743200"/>
            </a:xfrm>
            <a:prstGeom prst="rect">
              <a:avLst/>
            </a:prstGeom>
            <a:solidFill>
              <a:prstClr val="white"/>
            </a:solidFill>
            <a:ln w="1">
              <a:solidFill>
                <a:prstClr val="green"/>
              </a:solidFill>
            </a:ln>
          </xdr:spPr>
          <xdr:txBody>
            <a:bodyPr vertOverflow="clip" horzOverflow="clip"/>
            <a:lstStyle/>
            <a:p>
              <a:r>
                <a:rPr lang="es-MX" sz="1100"/>
                <a:t>Este gráfico no está disponible en su versión de Excel.
Si edita esta forma o guarda el libro en un formato de archivo diferente, el gráfico no se podrá utilizar.</a:t>
              </a:r>
            </a:p>
          </xdr:txBody>
        </xdr:sp>
      </mc:Fallback>
    </mc:AlternateContent>
    <xdr:clientData/>
  </xdr:twoCellAnchor>
  <xdr:twoCellAnchor>
    <xdr:from>
      <xdr:col>2</xdr:col>
      <xdr:colOff>742949</xdr:colOff>
      <xdr:row>58</xdr:row>
      <xdr:rowOff>47625</xdr:rowOff>
    </xdr:from>
    <xdr:to>
      <xdr:col>12</xdr:col>
      <xdr:colOff>485775</xdr:colOff>
      <xdr:row>72</xdr:row>
      <xdr:rowOff>123825</xdr:rowOff>
    </xdr:to>
    <xdr:graphicFrame macro="">
      <xdr:nvGraphicFramePr>
        <xdr:cNvPr id="3" name="Gráfico 2">
          <a:extLst>
            <a:ext uri="{FF2B5EF4-FFF2-40B4-BE49-F238E27FC236}">
              <a16:creationId xmlns:a16="http://schemas.microsoft.com/office/drawing/2014/main" id="{926035A3-A1CF-42EA-9D84-0C15B07A942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752474</xdr:colOff>
      <xdr:row>73</xdr:row>
      <xdr:rowOff>123825</xdr:rowOff>
    </xdr:from>
    <xdr:to>
      <xdr:col>11</xdr:col>
      <xdr:colOff>590549</xdr:colOff>
      <xdr:row>94</xdr:row>
      <xdr:rowOff>85725</xdr:rowOff>
    </xdr:to>
    <xdr:graphicFrame macro="">
      <xdr:nvGraphicFramePr>
        <xdr:cNvPr id="4" name="Gráfico 3">
          <a:extLst>
            <a:ext uri="{FF2B5EF4-FFF2-40B4-BE49-F238E27FC236}">
              <a16:creationId xmlns:a16="http://schemas.microsoft.com/office/drawing/2014/main" id="{1D819119-6559-45A6-8576-471BB0CFC34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85725</xdr:colOff>
      <xdr:row>1</xdr:row>
      <xdr:rowOff>152400</xdr:rowOff>
    </xdr:from>
    <xdr:to>
      <xdr:col>5</xdr:col>
      <xdr:colOff>314325</xdr:colOff>
      <xdr:row>7</xdr:row>
      <xdr:rowOff>9525</xdr:rowOff>
    </xdr:to>
    <xdr:sp macro="" textlink="">
      <xdr:nvSpPr>
        <xdr:cNvPr id="2" name="Rectángulo 1">
          <a:extLst>
            <a:ext uri="{FF2B5EF4-FFF2-40B4-BE49-F238E27FC236}">
              <a16:creationId xmlns:a16="http://schemas.microsoft.com/office/drawing/2014/main" id="{E0ADC744-3C5C-AB59-AE90-1BB18B3C2854}"/>
            </a:ext>
          </a:extLst>
        </xdr:cNvPr>
        <xdr:cNvSpPr/>
      </xdr:nvSpPr>
      <xdr:spPr>
        <a:xfrm>
          <a:off x="85725" y="342900"/>
          <a:ext cx="4038600" cy="1000125"/>
        </a:xfrm>
        <a:prstGeom prst="rect">
          <a:avLst/>
        </a:prstGeom>
        <a:solidFill>
          <a:srgbClr val="92D05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s-MX" b="1">
              <a:solidFill>
                <a:sysClr val="windowText" lastClr="000000"/>
              </a:solidFill>
            </a:rPr>
            <a:t>El análisis realizado permite comprender el comportamiento de las ventas y los factores que impactan el rendimiento empresarial. Se identificaron patrones clave en ingresos, satisfacción del cliente y desempeño por región, proporcionando una base sólida para la toma de decisiones estratégicas.</a:t>
          </a:r>
        </a:p>
        <a:p>
          <a:pPr algn="l"/>
          <a:endParaRPr lang="es-MX" sz="1100"/>
        </a:p>
      </xdr:txBody>
    </xdr:sp>
    <xdr:clientData/>
  </xdr:twoCellAnchor>
  <xdr:twoCellAnchor>
    <xdr:from>
      <xdr:col>0</xdr:col>
      <xdr:colOff>95250</xdr:colOff>
      <xdr:row>9</xdr:row>
      <xdr:rowOff>161924</xdr:rowOff>
    </xdr:from>
    <xdr:to>
      <xdr:col>5</xdr:col>
      <xdr:colOff>314325</xdr:colOff>
      <xdr:row>14</xdr:row>
      <xdr:rowOff>190499</xdr:rowOff>
    </xdr:to>
    <xdr:sp macro="" textlink="">
      <xdr:nvSpPr>
        <xdr:cNvPr id="3" name="Rectángulo 2">
          <a:extLst>
            <a:ext uri="{FF2B5EF4-FFF2-40B4-BE49-F238E27FC236}">
              <a16:creationId xmlns:a16="http://schemas.microsoft.com/office/drawing/2014/main" id="{D291BED2-78F8-8B70-DB9F-221775AF9B44}"/>
            </a:ext>
          </a:extLst>
        </xdr:cNvPr>
        <xdr:cNvSpPr/>
      </xdr:nvSpPr>
      <xdr:spPr>
        <a:xfrm>
          <a:off x="95250" y="1876424"/>
          <a:ext cx="4029075" cy="981075"/>
        </a:xfrm>
        <a:prstGeom prst="rect">
          <a:avLst/>
        </a:prstGeom>
      </xdr:spPr>
      <xdr:style>
        <a:lnRef idx="0">
          <a:schemeClr val="accent6"/>
        </a:lnRef>
        <a:fillRef idx="3">
          <a:schemeClr val="accent6"/>
        </a:fillRef>
        <a:effectRef idx="3">
          <a:schemeClr val="accent6"/>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s-MX" b="1">
              <a:solidFill>
                <a:sysClr val="windowText" lastClr="000000"/>
              </a:solidFill>
            </a:rPr>
            <a:t>Se aplicaron técnicas de análisis de datos como estadísticas descriptivas, correlación, regresión, pruebas de hipótesis y análisis de valores atípicos. Estas herramientas permitieron evaluar relaciones entre variables y validar resultados con rigor estadístico.</a:t>
          </a:r>
        </a:p>
        <a:p>
          <a:pPr algn="l"/>
          <a:endParaRPr lang="es-MX" sz="1100" b="1">
            <a:solidFill>
              <a:sysClr val="windowText" lastClr="000000"/>
            </a:solidFill>
          </a:endParaRPr>
        </a:p>
      </xdr:txBody>
    </xdr:sp>
    <xdr:clientData/>
  </xdr:twoCellAnchor>
  <xdr:twoCellAnchor>
    <xdr:from>
      <xdr:col>5</xdr:col>
      <xdr:colOff>742950</xdr:colOff>
      <xdr:row>1</xdr:row>
      <xdr:rowOff>161924</xdr:rowOff>
    </xdr:from>
    <xdr:to>
      <xdr:col>11</xdr:col>
      <xdr:colOff>200025</xdr:colOff>
      <xdr:row>6</xdr:row>
      <xdr:rowOff>190499</xdr:rowOff>
    </xdr:to>
    <xdr:sp macro="" textlink="">
      <xdr:nvSpPr>
        <xdr:cNvPr id="4" name="Rectángulo 3">
          <a:extLst>
            <a:ext uri="{FF2B5EF4-FFF2-40B4-BE49-F238E27FC236}">
              <a16:creationId xmlns:a16="http://schemas.microsoft.com/office/drawing/2014/main" id="{BE8E8EAF-423A-01F7-62F2-13B98C8EA8AB}"/>
            </a:ext>
          </a:extLst>
        </xdr:cNvPr>
        <xdr:cNvSpPr/>
      </xdr:nvSpPr>
      <xdr:spPr>
        <a:xfrm>
          <a:off x="4552950" y="352424"/>
          <a:ext cx="4029075" cy="981075"/>
        </a:xfrm>
        <a:prstGeom prst="rect">
          <a:avLst/>
        </a:prstGeom>
        <a:gradFill flip="none" rotWithShape="1">
          <a:gsLst>
            <a:gs pos="0">
              <a:schemeClr val="accent4">
                <a:lumMod val="67000"/>
              </a:schemeClr>
            </a:gs>
            <a:gs pos="48000">
              <a:schemeClr val="accent4">
                <a:lumMod val="97000"/>
                <a:lumOff val="3000"/>
              </a:schemeClr>
            </a:gs>
            <a:gs pos="100000">
              <a:schemeClr val="accent4">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s-MX" b="1">
              <a:solidFill>
                <a:sysClr val="windowText" lastClr="000000"/>
              </a:solidFill>
            </a:rPr>
            <a:t>Se encontró que la cantidad de productos vendidos tiene una fuerte relación con los ingresos. No se identificaron diferencias significativas entre regiones. Algunos factores como descuentos y satisfacción muestran impacto moderado en los resultados.</a:t>
          </a:r>
        </a:p>
        <a:p>
          <a:pPr algn="l"/>
          <a:endParaRPr lang="es-MX" sz="1100" b="1">
            <a:solidFill>
              <a:sysClr val="windowText" lastClr="000000"/>
            </a:solidFill>
          </a:endParaRPr>
        </a:p>
      </xdr:txBody>
    </xdr:sp>
    <xdr:clientData/>
  </xdr:twoCellAnchor>
  <xdr:twoCellAnchor>
    <xdr:from>
      <xdr:col>6</xdr:col>
      <xdr:colOff>0</xdr:colOff>
      <xdr:row>9</xdr:row>
      <xdr:rowOff>171450</xdr:rowOff>
    </xdr:from>
    <xdr:to>
      <xdr:col>11</xdr:col>
      <xdr:colOff>238125</xdr:colOff>
      <xdr:row>15</xdr:row>
      <xdr:rowOff>9525</xdr:rowOff>
    </xdr:to>
    <xdr:sp macro="" textlink="">
      <xdr:nvSpPr>
        <xdr:cNvPr id="6" name="Rectángulo 5">
          <a:extLst>
            <a:ext uri="{FF2B5EF4-FFF2-40B4-BE49-F238E27FC236}">
              <a16:creationId xmlns:a16="http://schemas.microsoft.com/office/drawing/2014/main" id="{06EA1C1A-CE45-454D-9716-D2E480ECC673}"/>
            </a:ext>
          </a:extLst>
        </xdr:cNvPr>
        <xdr:cNvSpPr/>
      </xdr:nvSpPr>
      <xdr:spPr>
        <a:xfrm>
          <a:off x="4572000" y="1885950"/>
          <a:ext cx="4048125" cy="981075"/>
        </a:xfrm>
        <a:prstGeom prst="rect">
          <a:avLst/>
        </a:prstGeom>
        <a:gradFill flip="none" rotWithShape="1">
          <a:gsLst>
            <a:gs pos="0">
              <a:schemeClr val="accent2">
                <a:lumMod val="67000"/>
              </a:schemeClr>
            </a:gs>
            <a:gs pos="48000">
              <a:schemeClr val="accent2">
                <a:lumMod val="97000"/>
                <a:lumOff val="3000"/>
              </a:schemeClr>
            </a:gs>
            <a:gs pos="100000">
              <a:schemeClr val="accent2">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s-MX" b="1">
              <a:solidFill>
                <a:sysClr val="windowText" lastClr="000000"/>
              </a:solidFill>
            </a:rPr>
            <a:t>Se recomienda enfocarse en incrementar el volumen de ventas, optimizar estrategias de precios y mejorar la experiencia del cliente. También se sugiere monitorear continuamente los indicadores clave mediante dashboards interactivos.</a:t>
          </a:r>
        </a:p>
        <a:p>
          <a:pPr algn="l"/>
          <a:endParaRPr lang="es-MX" sz="1100" b="1">
            <a:solidFill>
              <a:sysClr val="windowText" lastClr="000000"/>
            </a:solidFill>
          </a:endParaRPr>
        </a:p>
      </xdr:txBody>
    </xdr:sp>
    <xdr:clientData/>
  </xdr:twoCellAnchor>
  <xdr:twoCellAnchor>
    <xdr:from>
      <xdr:col>2</xdr:col>
      <xdr:colOff>761999</xdr:colOff>
      <xdr:row>17</xdr:row>
      <xdr:rowOff>161924</xdr:rowOff>
    </xdr:from>
    <xdr:to>
      <xdr:col>8</xdr:col>
      <xdr:colOff>238125</xdr:colOff>
      <xdr:row>22</xdr:row>
      <xdr:rowOff>190499</xdr:rowOff>
    </xdr:to>
    <xdr:sp macro="" textlink="">
      <xdr:nvSpPr>
        <xdr:cNvPr id="7" name="Rectángulo 6">
          <a:extLst>
            <a:ext uri="{FF2B5EF4-FFF2-40B4-BE49-F238E27FC236}">
              <a16:creationId xmlns:a16="http://schemas.microsoft.com/office/drawing/2014/main" id="{39AE398C-6C6E-D003-4B36-11B41DA44EFE}"/>
            </a:ext>
          </a:extLst>
        </xdr:cNvPr>
        <xdr:cNvSpPr/>
      </xdr:nvSpPr>
      <xdr:spPr>
        <a:xfrm>
          <a:off x="2285999" y="3400424"/>
          <a:ext cx="4048126" cy="981075"/>
        </a:xfrm>
        <a:prstGeom prst="rect">
          <a:avLst/>
        </a:prstGeom>
        <a:gradFill flip="none" rotWithShape="1">
          <a:gsLst>
            <a:gs pos="0">
              <a:schemeClr val="accent5">
                <a:lumMod val="67000"/>
              </a:schemeClr>
            </a:gs>
            <a:gs pos="48000">
              <a:schemeClr val="accent5">
                <a:lumMod val="97000"/>
                <a:lumOff val="3000"/>
              </a:schemeClr>
            </a:gs>
            <a:gs pos="100000">
              <a:schemeClr val="accent5">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s-MX" b="1">
              <a:solidFill>
                <a:sysClr val="windowText" lastClr="000000"/>
              </a:solidFill>
            </a:rPr>
            <a:t>Implementar modelos predictivos más avanzados, integrar nuevas variables externas y automatizar el análisis para facilitar la toma de decisiones en tiempo real.</a:t>
          </a:r>
        </a:p>
        <a:p>
          <a:pPr algn="l"/>
          <a:endParaRPr lang="es-MX" sz="1100" b="1">
            <a:solidFill>
              <a:sysClr val="windowText" lastClr="000000"/>
            </a:solidFill>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Benítez Valencia Jorge Alberto" refreshedDate="46098.891218865741" createdVersion="8" refreshedVersion="8" minRefreshableVersion="3" recordCount="100" xr:uid="{84370BD6-C41B-4E29-9DFD-FCB5CBF88EBA}">
  <cacheSource type="worksheet">
    <worksheetSource ref="A110:W210" sheet="Datos_Ventas_Completos"/>
  </cacheSource>
  <cacheFields count="25">
    <cacheField name="ID_Transaccion" numFmtId="0">
      <sharedItems/>
    </cacheField>
    <cacheField name="Fecha" numFmtId="14">
      <sharedItems containsSemiMixedTypes="0" containsNonDate="0" containsDate="1" containsString="0" minDate="2024-01-01T00:00:00" maxDate="2024-03-31T00:00:00"/>
    </cacheField>
    <cacheField name="Region" numFmtId="0">
      <sharedItems count="4">
        <s v="Norte"/>
        <s v="Sur"/>
        <s v="Este"/>
        <s v="Oeste"/>
      </sharedItems>
    </cacheField>
    <cacheField name="Canal_Venta" numFmtId="0">
      <sharedItems count="3">
        <s v="Online"/>
        <s v="Tienda"/>
        <s v="Distribuidor"/>
      </sharedItems>
    </cacheField>
    <cacheField name="Categoria" numFmtId="0">
      <sharedItems count="3">
        <s v="Tablets"/>
        <s v="Laptops"/>
        <s v="Smartphones"/>
      </sharedItems>
    </cacheField>
    <cacheField name="Producto" numFmtId="0">
      <sharedItems/>
    </cacheField>
    <cacheField name="Vendedor" numFmtId="0">
      <sharedItems count="8">
        <s v="José Martín"/>
        <s v="Ana García"/>
        <s v="Pedro González"/>
        <s v="María Rodríguez"/>
        <s v="Miguel Torres"/>
        <s v="Carlos López"/>
        <s v="Carmen Ruiz"/>
        <s v="Laura Sánchez"/>
      </sharedItems>
    </cacheField>
    <cacheField name="Precio_Unitario" numFmtId="0">
      <sharedItems containsSemiMixedTypes="0" containsString="0" containsNumber="1" containsInteger="1" minValue="315" maxValue="1394"/>
    </cacheField>
    <cacheField name="Cantidad" numFmtId="0">
      <sharedItems containsSemiMixedTypes="0" containsString="0" containsNumber="1" containsInteger="1" minValue="1" maxValue="5"/>
    </cacheField>
    <cacheField name="Ingresos_Totales" numFmtId="0">
      <sharedItems containsSemiMixedTypes="0" containsString="0" containsNumber="1" minValue="352.45" maxValue="6585"/>
    </cacheField>
    <cacheField name="Costo_Unitario" numFmtId="0">
      <sharedItems containsSemiMixedTypes="0" containsString="0" containsNumber="1" minValue="216.93" maxValue="1028.8599999999999"/>
    </cacheField>
    <cacheField name="Margen_Bruto" numFmtId="0">
      <sharedItems containsSemiMixedTypes="0" containsString="0" containsNumber="1" minValue="86.49" maxValue="1986.28"/>
    </cacheField>
    <cacheField name="Satisfaccion_Cliente" numFmtId="0">
      <sharedItems containsSemiMixedTypes="0" containsString="0" containsNumber="1" minValue="3" maxValue="5"/>
    </cacheField>
    <cacheField name="Tiempo_Entrega" numFmtId="0">
      <sharedItems containsSemiMixedTypes="0" containsString="0" containsNumber="1" containsInteger="1" minValue="1" maxValue="7"/>
    </cacheField>
    <cacheField name="Descuento_Aplicado" numFmtId="0">
      <sharedItems containsSemiMixedTypes="0" containsString="0" containsNumber="1" minValue="0" maxValue="0.15"/>
    </cacheField>
    <cacheField name="Metodo_Pago" numFmtId="0">
      <sharedItems count="3">
        <s v="Transferencia"/>
        <s v="Efectivo"/>
        <s v="Tarjeta"/>
      </sharedItems>
    </cacheField>
    <cacheField name="Rentabilidad_Pct" numFmtId="0">
      <sharedItems containsSemiMixedTypes="0" containsString="0" containsNumber="1" minValue="0.20012496094970325" maxValue="0.39882006629396921"/>
    </cacheField>
    <cacheField name="Categoria_Cliente" numFmtId="0">
      <sharedItems count="3">
        <s v="Premium"/>
        <s v="Estandar"/>
        <s v="Riesgo"/>
      </sharedItems>
    </cacheField>
    <cacheField name="Trimestre" numFmtId="0">
      <sharedItems count="1">
        <s v="Q1"/>
      </sharedItems>
    </cacheField>
    <cacheField name="Semana_Año" numFmtId="0">
      <sharedItems containsSemiMixedTypes="0" containsString="0" containsNumber="1" containsInteger="1" minValue="1" maxValue="7"/>
    </cacheField>
    <cacheField name="Eficiencia_Entrega" numFmtId="0">
      <sharedItems/>
    </cacheField>
    <cacheField name="Antigüedad_Vendedor" numFmtId="0">
      <sharedItems containsSemiMixedTypes="0" containsString="0" containsNumber="1" containsInteger="1" minValue="10" maxValue="37"/>
    </cacheField>
    <cacheField name="Satisfaccion_Laboral_Vendedor" numFmtId="0">
      <sharedItems containsSemiMixedTypes="0" containsString="0" containsNumber="1" minValue="3.6" maxValue="4.7"/>
    </cacheField>
    <cacheField name="Margen_Promedio" numFmtId="0" formula="Margen_Bruto/Ingresos_Totales" databaseField="0"/>
    <cacheField name="Ticket_Promedio" numFmtId="0" formula="Ingresos_Totales/Cantidad" databaseField="0"/>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Benítez Valencia Jorge Alberto" refreshedDate="46105.007025694445" createdVersion="8" refreshedVersion="8" minRefreshableVersion="3" recordCount="100" xr:uid="{797BDDDB-6B5F-4207-A403-D691411E3435}">
  <cacheSource type="worksheet">
    <worksheetSource ref="A1:AA101" sheet="Datos_Ventas_Completos"/>
  </cacheSource>
  <cacheFields count="29">
    <cacheField name="ID_Transaccion" numFmtId="0">
      <sharedItems/>
    </cacheField>
    <cacheField name="Fecha" numFmtId="14">
      <sharedItems containsSemiMixedTypes="0" containsNonDate="0" containsDate="1" containsString="0" minDate="2024-01-01T00:00:00" maxDate="2024-03-31T00:00:00" count="56">
        <d v="2024-03-22T00:00:00"/>
        <d v="2024-02-24T00:00:00"/>
        <d v="2024-02-23T00:00:00"/>
        <d v="2024-01-14T00:00:00"/>
        <d v="2024-03-11T00:00:00"/>
        <d v="2024-01-13T00:00:00"/>
        <d v="2024-01-10T00:00:00"/>
        <d v="2024-03-28T00:00:00"/>
        <d v="2024-01-28T00:00:00"/>
        <d v="2024-03-17T00:00:00"/>
        <d v="2024-03-23T00:00:00"/>
        <d v="2024-03-21T00:00:00"/>
        <d v="2024-03-03T00:00:00"/>
        <d v="2024-03-29T00:00:00"/>
        <d v="2024-03-16T00:00:00"/>
        <d v="2024-01-31T00:00:00"/>
        <d v="2024-02-21T00:00:00"/>
        <d v="2024-02-26T00:00:00"/>
        <d v="2024-01-08T00:00:00"/>
        <d v="2024-03-25T00:00:00"/>
        <d v="2024-03-05T00:00:00"/>
        <d v="2024-02-01T00:00:00"/>
        <d v="2024-02-08T00:00:00"/>
        <d v="2024-01-09T00:00:00"/>
        <d v="2024-01-18T00:00:00"/>
        <d v="2024-01-17T00:00:00"/>
        <d v="2024-03-20T00:00:00"/>
        <d v="2024-01-30T00:00:00"/>
        <d v="2024-02-25T00:00:00"/>
        <d v="2024-03-26T00:00:00"/>
        <d v="2024-03-30T00:00:00"/>
        <d v="2024-01-27T00:00:00"/>
        <d v="2024-01-22T00:00:00"/>
        <d v="2024-01-01T00:00:00"/>
        <d v="2024-03-10T00:00:00"/>
        <d v="2024-01-24T00:00:00"/>
        <d v="2024-02-02T00:00:00"/>
        <d v="2024-02-17T00:00:00"/>
        <d v="2024-02-18T00:00:00"/>
        <d v="2024-03-09T00:00:00"/>
        <d v="2024-01-20T00:00:00"/>
        <d v="2024-02-22T00:00:00"/>
        <d v="2024-02-09T00:00:00"/>
        <d v="2024-03-08T00:00:00"/>
        <d v="2024-01-07T00:00:00"/>
        <d v="2024-02-06T00:00:00"/>
        <d v="2024-02-29T00:00:00"/>
        <d v="2024-02-28T00:00:00"/>
        <d v="2024-02-19T00:00:00"/>
        <d v="2024-02-07T00:00:00"/>
        <d v="2024-01-16T00:00:00"/>
        <d v="2024-03-12T00:00:00"/>
        <d v="2024-03-04T00:00:00"/>
        <d v="2024-02-16T00:00:00"/>
        <d v="2024-01-12T00:00:00"/>
        <d v="2024-03-19T00:00:00"/>
      </sharedItems>
      <fieldGroup par="28"/>
    </cacheField>
    <cacheField name="Region" numFmtId="0">
      <sharedItems count="4">
        <s v="Norte"/>
        <s v="Sur"/>
        <s v="Este"/>
        <s v="Oeste"/>
      </sharedItems>
    </cacheField>
    <cacheField name="Canal_Venta" numFmtId="0">
      <sharedItems count="3">
        <s v="Online"/>
        <s v="Tienda"/>
        <s v="Distribuidor"/>
      </sharedItems>
    </cacheField>
    <cacheField name="Categoria" numFmtId="0">
      <sharedItems count="3">
        <s v="Tablets"/>
        <s v="Laptops"/>
        <s v="Smartphones"/>
      </sharedItems>
    </cacheField>
    <cacheField name="Producto" numFmtId="0">
      <sharedItems count="9">
        <s v="Galaxy Tab S9"/>
        <s v="Gaming Pro X1"/>
        <s v="Business Y2"/>
        <s v="Pixel 8 Pro"/>
        <s v="iPad Air"/>
        <s v="Galaxy S24"/>
        <s v="Surface Pro 9"/>
        <s v="iPhone 15 Pro"/>
        <s v="UltraBook Z3"/>
      </sharedItems>
    </cacheField>
    <cacheField name="Vendedor" numFmtId="0">
      <sharedItems/>
    </cacheField>
    <cacheField name="Precio_Unitario" numFmtId="0">
      <sharedItems containsSemiMixedTypes="0" containsString="0" containsNumber="1" containsInteger="1" minValue="315" maxValue="1394"/>
    </cacheField>
    <cacheField name="Cantidad" numFmtId="0">
      <sharedItems containsSemiMixedTypes="0" containsString="0" containsNumber="1" containsInteger="1" minValue="1" maxValue="5"/>
    </cacheField>
    <cacheField name="Ingresos_Totales" numFmtId="0">
      <sharedItems containsSemiMixedTypes="0" containsString="0" containsNumber="1" minValue="352.45" maxValue="6585"/>
    </cacheField>
    <cacheField name="Costo_Unitario" numFmtId="0">
      <sharedItems containsSemiMixedTypes="0" containsString="0" containsNumber="1" minValue="216.93" maxValue="1028.8599999999999"/>
    </cacheField>
    <cacheField name="Margen_Bruto" numFmtId="0">
      <sharedItems containsSemiMixedTypes="0" containsString="0" containsNumber="1" minValue="86.49" maxValue="1986.28"/>
    </cacheField>
    <cacheField name="Satisfaccion_Cliente" numFmtId="0">
      <sharedItems containsSemiMixedTypes="0" containsString="0" containsNumber="1" minValue="3" maxValue="5"/>
    </cacheField>
    <cacheField name="Tiempo_Entrega" numFmtId="0">
      <sharedItems containsSemiMixedTypes="0" containsString="0" containsNumber="1" containsInteger="1" minValue="1" maxValue="7"/>
    </cacheField>
    <cacheField name="Descuento_Aplicado" numFmtId="0">
      <sharedItems containsSemiMixedTypes="0" containsString="0" containsNumber="1" minValue="0" maxValue="0.15"/>
    </cacheField>
    <cacheField name="Metodo_Pago" numFmtId="0">
      <sharedItems/>
    </cacheField>
    <cacheField name="Rentabilidad_Pct" numFmtId="0">
      <sharedItems containsSemiMixedTypes="0" containsString="0" containsNumber="1" minValue="0.20012496094970325" maxValue="0.39882006629396921"/>
    </cacheField>
    <cacheField name="Categoria_Cliente" numFmtId="0">
      <sharedItems/>
    </cacheField>
    <cacheField name="Trimestre" numFmtId="0">
      <sharedItems/>
    </cacheField>
    <cacheField name="Semana_Año" numFmtId="0">
      <sharedItems containsSemiMixedTypes="0" containsString="0" containsNumber="1" containsInteger="1" minValue="1" maxValue="7"/>
    </cacheField>
    <cacheField name="Eficiencia_Entrega" numFmtId="0">
      <sharedItems/>
    </cacheField>
    <cacheField name="Antigüedad_Vendedor" numFmtId="0">
      <sharedItems containsSemiMixedTypes="0" containsString="0" containsNumber="1" containsInteger="1" minValue="10" maxValue="37"/>
    </cacheField>
    <cacheField name="Satisfaccion_Laboral_Vendedor" numFmtId="0">
      <sharedItems containsSemiMixedTypes="0" containsString="0" containsNumber="1" minValue="3.6" maxValue="4.7"/>
    </cacheField>
    <cacheField name="Stock_Disponible" numFmtId="0">
      <sharedItems containsSemiMixedTypes="0" containsString="0" containsNumber="1" containsInteger="1" minValue="29" maxValue="44"/>
    </cacheField>
    <cacheField name="Z_Score_Ingresos" numFmtId="0">
      <sharedItems containsSemiMixedTypes="0" containsString="0" containsNumber="1" minValue="-1.5593541999915446" maxValue="2.8525514017852927"/>
    </cacheField>
    <cacheField name="Outlier_Z" numFmtId="0">
      <sharedItems/>
    </cacheField>
    <cacheField name="Outlier_IQR" numFmtId="0">
      <sharedItems/>
    </cacheField>
    <cacheField name="Días (Fecha)" numFmtId="0" databaseField="0">
      <fieldGroup base="1">
        <rangePr groupBy="days" startDate="2024-01-01T00:00:00" endDate="2024-03-31T00:00:00"/>
        <groupItems count="368">
          <s v="&lt;01/01/2024"/>
          <s v="01-ene"/>
          <s v="02-ene"/>
          <s v="03-ene"/>
          <s v="04-ene"/>
          <s v="05-ene"/>
          <s v="06-ene"/>
          <s v="07-ene"/>
          <s v="08-ene"/>
          <s v="09-ene"/>
          <s v="10-ene"/>
          <s v="11-ene"/>
          <s v="12-ene"/>
          <s v="13-ene"/>
          <s v="14-ene"/>
          <s v="15-ene"/>
          <s v="16-ene"/>
          <s v="17-ene"/>
          <s v="18-ene"/>
          <s v="19-ene"/>
          <s v="20-ene"/>
          <s v="21-ene"/>
          <s v="22-ene"/>
          <s v="23-ene"/>
          <s v="24-ene"/>
          <s v="25-ene"/>
          <s v="26-ene"/>
          <s v="27-ene"/>
          <s v="28-ene"/>
          <s v="29-ene"/>
          <s v="30-ene"/>
          <s v="31-ene"/>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br"/>
          <s v="02-abr"/>
          <s v="03-abr"/>
          <s v="04-abr"/>
          <s v="05-abr"/>
          <s v="06-abr"/>
          <s v="07-abr"/>
          <s v="08-abr"/>
          <s v="09-abr"/>
          <s v="10-abr"/>
          <s v="11-abr"/>
          <s v="12-abr"/>
          <s v="13-abr"/>
          <s v="14-abr"/>
          <s v="15-abr"/>
          <s v="16-abr"/>
          <s v="17-abr"/>
          <s v="18-abr"/>
          <s v="19-abr"/>
          <s v="20-abr"/>
          <s v="21-abr"/>
          <s v="22-abr"/>
          <s v="23-abr"/>
          <s v="24-abr"/>
          <s v="25-abr"/>
          <s v="26-abr"/>
          <s v="27-abr"/>
          <s v="28-abr"/>
          <s v="29-abr"/>
          <s v="30-ab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go"/>
          <s v="02-ago"/>
          <s v="03-ago"/>
          <s v="04-ago"/>
          <s v="05-ago"/>
          <s v="06-ago"/>
          <s v="07-ago"/>
          <s v="08-ago"/>
          <s v="09-ago"/>
          <s v="10-ago"/>
          <s v="11-ago"/>
          <s v="12-ago"/>
          <s v="13-ago"/>
          <s v="14-ago"/>
          <s v="15-ago"/>
          <s v="16-ago"/>
          <s v="17-ago"/>
          <s v="18-ago"/>
          <s v="19-ago"/>
          <s v="20-ago"/>
          <s v="21-ago"/>
          <s v="22-ago"/>
          <s v="23-ago"/>
          <s v="24-ago"/>
          <s v="25-ago"/>
          <s v="26-ago"/>
          <s v="27-ago"/>
          <s v="28-ago"/>
          <s v="29-ago"/>
          <s v="30-ago"/>
          <s v="31-ago"/>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ic"/>
          <s v="02-dic"/>
          <s v="03-dic"/>
          <s v="04-dic"/>
          <s v="05-dic"/>
          <s v="06-dic"/>
          <s v="07-dic"/>
          <s v="08-dic"/>
          <s v="09-dic"/>
          <s v="10-dic"/>
          <s v="11-dic"/>
          <s v="12-dic"/>
          <s v="13-dic"/>
          <s v="14-dic"/>
          <s v="15-dic"/>
          <s v="16-dic"/>
          <s v="17-dic"/>
          <s v="18-dic"/>
          <s v="19-dic"/>
          <s v="20-dic"/>
          <s v="21-dic"/>
          <s v="22-dic"/>
          <s v="23-dic"/>
          <s v="24-dic"/>
          <s v="25-dic"/>
          <s v="26-dic"/>
          <s v="27-dic"/>
          <s v="28-dic"/>
          <s v="29-dic"/>
          <s v="30-dic"/>
          <s v="31-dic"/>
          <s v="&gt;31/03/2024"/>
        </groupItems>
      </fieldGroup>
    </cacheField>
    <cacheField name="Meses (Fecha)" numFmtId="0" databaseField="0">
      <fieldGroup base="1">
        <rangePr groupBy="months" startDate="2024-01-01T00:00:00" endDate="2024-03-31T00:00:00"/>
        <groupItems count="14">
          <s v="&lt;01/01/2024"/>
          <s v="ene"/>
          <s v="feb"/>
          <s v="mar"/>
          <s v="abr"/>
          <s v="may"/>
          <s v="jun"/>
          <s v="jul"/>
          <s v="ago"/>
          <s v="sep"/>
          <s v="oct"/>
          <s v="nov"/>
          <s v="dic"/>
          <s v="&gt;31/03/2024"/>
        </groupItems>
      </fieldGroup>
    </cacheField>
  </cacheFields>
  <extLst>
    <ext xmlns:x14="http://schemas.microsoft.com/office/spreadsheetml/2009/9/main" uri="{725AE2AE-9491-48be-B2B4-4EB974FC3084}">
      <x14:pivotCacheDefinition pivotCacheId="167079270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s v="TXN001"/>
    <d v="2024-03-22T00:00:00"/>
    <x v="0"/>
    <x v="0"/>
    <x v="0"/>
    <s v="Galaxy Tab S9"/>
    <x v="0"/>
    <n v="528"/>
    <n v="2"/>
    <n v="1056"/>
    <n v="388.26"/>
    <n v="279.48"/>
    <n v="4.8"/>
    <n v="1"/>
    <n v="0"/>
    <x v="0"/>
    <n v="0.2646590909090909"/>
    <x v="0"/>
    <x v="0"/>
    <n v="6"/>
    <s v="Excelente"/>
    <n v="12"/>
    <n v="4.5"/>
  </r>
  <r>
    <s v="TXN002"/>
    <d v="2024-02-24T00:00:00"/>
    <x v="0"/>
    <x v="0"/>
    <x v="1"/>
    <s v="Gaming Pro X1"/>
    <x v="0"/>
    <n v="1317"/>
    <n v="5"/>
    <n v="6585"/>
    <n v="938.03"/>
    <n v="1894.84"/>
    <n v="4.4000000000000004"/>
    <n v="6"/>
    <n v="0"/>
    <x v="0"/>
    <n v="0.28775094912680332"/>
    <x v="1"/>
    <x v="0"/>
    <n v="7"/>
    <s v="Mejorable"/>
    <n v="12"/>
    <n v="4.5"/>
  </r>
  <r>
    <s v="TXN003"/>
    <d v="2024-02-23T00:00:00"/>
    <x v="1"/>
    <x v="1"/>
    <x v="0"/>
    <s v="Galaxy Tab S9"/>
    <x v="1"/>
    <n v="463"/>
    <n v="4"/>
    <n v="1666.8"/>
    <n v="303.52999999999997"/>
    <n v="574.09"/>
    <n v="3.4"/>
    <n v="7"/>
    <n v="0.1"/>
    <x v="1"/>
    <n v="0.3444264458843293"/>
    <x v="2"/>
    <x v="0"/>
    <n v="6"/>
    <s v="Mejorable"/>
    <n v="37"/>
    <n v="3.6"/>
  </r>
  <r>
    <s v="TXN004"/>
    <d v="2024-01-14T00:00:00"/>
    <x v="0"/>
    <x v="1"/>
    <x v="1"/>
    <s v="Business Y2"/>
    <x v="2"/>
    <n v="1070"/>
    <n v="1"/>
    <n v="909.5"/>
    <n v="756.75"/>
    <n v="266.26"/>
    <n v="4.9000000000000004"/>
    <n v="4"/>
    <n v="0.15"/>
    <x v="2"/>
    <n v="0.29275426058273774"/>
    <x v="0"/>
    <x v="0"/>
    <n v="1"/>
    <s v="Buena"/>
    <n v="32"/>
    <n v="4"/>
  </r>
  <r>
    <s v="TXN005"/>
    <d v="2024-03-11T00:00:00"/>
    <x v="2"/>
    <x v="2"/>
    <x v="0"/>
    <s v="Galaxy Tab S9"/>
    <x v="0"/>
    <n v="371"/>
    <n v="1"/>
    <n v="352.45"/>
    <n v="279.95999999999998"/>
    <n v="86.49"/>
    <n v="5"/>
    <n v="7"/>
    <n v="0.05"/>
    <x v="2"/>
    <n v="0.24539651014328273"/>
    <x v="0"/>
    <x v="0"/>
    <n v="2"/>
    <s v="Mejorable"/>
    <n v="12"/>
    <n v="4.5"/>
  </r>
  <r>
    <s v="TXN006"/>
    <d v="2024-01-13T00:00:00"/>
    <x v="3"/>
    <x v="1"/>
    <x v="2"/>
    <s v="Pixel 8 Pro"/>
    <x v="2"/>
    <n v="766"/>
    <n v="3"/>
    <n v="2068.1999999999998"/>
    <n v="491.7"/>
    <n v="740.62"/>
    <n v="3.5"/>
    <n v="6"/>
    <n v="0.1"/>
    <x v="0"/>
    <n v="0.35809882990039649"/>
    <x v="2"/>
    <x v="0"/>
    <n v="7"/>
    <s v="Mejorable"/>
    <n v="32"/>
    <n v="4"/>
  </r>
  <r>
    <s v="TXN007"/>
    <d v="2024-01-10T00:00:00"/>
    <x v="1"/>
    <x v="2"/>
    <x v="0"/>
    <s v="iPad Air"/>
    <x v="3"/>
    <n v="773"/>
    <n v="4"/>
    <n v="2782.8"/>
    <n v="616.78"/>
    <n v="562.39"/>
    <n v="4.3"/>
    <n v="5"/>
    <n v="0.1"/>
    <x v="2"/>
    <n v="0.20209501221791001"/>
    <x v="1"/>
    <x v="0"/>
    <n v="4"/>
    <s v="Mejorable"/>
    <n v="30"/>
    <n v="4.2"/>
  </r>
  <r>
    <s v="TXN008"/>
    <d v="2024-03-28T00:00:00"/>
    <x v="2"/>
    <x v="0"/>
    <x v="1"/>
    <s v="Gaming Pro X1"/>
    <x v="2"/>
    <n v="1210"/>
    <n v="3"/>
    <n v="3630"/>
    <n v="777.06"/>
    <n v="1298.83"/>
    <n v="4.9000000000000004"/>
    <n v="6"/>
    <n v="0"/>
    <x v="1"/>
    <n v="0.35780440771349858"/>
    <x v="0"/>
    <x v="0"/>
    <n v="5"/>
    <s v="Mejorable"/>
    <n v="32"/>
    <n v="4"/>
  </r>
  <r>
    <s v="TXN009"/>
    <d v="2024-01-28T00:00:00"/>
    <x v="3"/>
    <x v="1"/>
    <x v="0"/>
    <s v="Galaxy Tab S9"/>
    <x v="3"/>
    <n v="571"/>
    <n v="2"/>
    <n v="1084.9000000000001"/>
    <n v="427.68"/>
    <n v="272.31"/>
    <n v="4.0999999999999996"/>
    <n v="6"/>
    <n v="0.05"/>
    <x v="0"/>
    <n v="0.25100009217439395"/>
    <x v="1"/>
    <x v="0"/>
    <n v="1"/>
    <s v="Mejorable"/>
    <n v="30"/>
    <n v="4.2"/>
  </r>
  <r>
    <s v="TXN010"/>
    <d v="2024-02-24T00:00:00"/>
    <x v="3"/>
    <x v="1"/>
    <x v="1"/>
    <s v="Gaming Pro X1"/>
    <x v="4"/>
    <n v="893"/>
    <n v="1"/>
    <n v="893"/>
    <n v="563.1"/>
    <n v="329.9"/>
    <n v="3.3"/>
    <n v="6"/>
    <n v="0"/>
    <x v="1"/>
    <n v="0.36942889137737961"/>
    <x v="2"/>
    <x v="0"/>
    <n v="7"/>
    <s v="Mejorable"/>
    <n v="12"/>
    <n v="4.3"/>
  </r>
  <r>
    <s v="TXN011"/>
    <d v="2024-03-17T00:00:00"/>
    <x v="0"/>
    <x v="1"/>
    <x v="2"/>
    <s v="Pixel 8 Pro"/>
    <x v="4"/>
    <n v="1141"/>
    <n v="3"/>
    <n v="3423"/>
    <n v="839.84"/>
    <n v="903.48"/>
    <n v="3.2"/>
    <n v="5"/>
    <n v="0"/>
    <x v="1"/>
    <n v="0.26394390885188429"/>
    <x v="2"/>
    <x v="0"/>
    <n v="1"/>
    <s v="Mejorable"/>
    <n v="12"/>
    <n v="4.3"/>
  </r>
  <r>
    <s v="TXN012"/>
    <d v="2024-03-23T00:00:00"/>
    <x v="2"/>
    <x v="0"/>
    <x v="2"/>
    <s v="Galaxy S24"/>
    <x v="3"/>
    <n v="1064"/>
    <n v="1"/>
    <n v="957.6"/>
    <n v="845.22"/>
    <n v="196.9"/>
    <n v="4.5"/>
    <n v="5"/>
    <n v="0.1"/>
    <x v="2"/>
    <n v="0.20561821219715956"/>
    <x v="1"/>
    <x v="0"/>
    <n v="7"/>
    <s v="Mejorable"/>
    <n v="30"/>
    <n v="4.2"/>
  </r>
  <r>
    <s v="TXN013"/>
    <d v="2024-03-21T00:00:00"/>
    <x v="2"/>
    <x v="2"/>
    <x v="0"/>
    <s v="Surface Pro 9"/>
    <x v="0"/>
    <n v="456"/>
    <n v="3"/>
    <n v="1299.5999999999999"/>
    <n v="322.79000000000002"/>
    <n v="379.64"/>
    <n v="4.5999999999999996"/>
    <n v="5"/>
    <n v="0.05"/>
    <x v="2"/>
    <n v="0.29212065250846414"/>
    <x v="0"/>
    <x v="0"/>
    <n v="5"/>
    <s v="Mejorable"/>
    <n v="12"/>
    <n v="4.5"/>
  </r>
  <r>
    <s v="TXN014"/>
    <d v="2024-03-17T00:00:00"/>
    <x v="2"/>
    <x v="1"/>
    <x v="1"/>
    <s v="Gaming Pro X1"/>
    <x v="2"/>
    <n v="1114"/>
    <n v="2"/>
    <n v="2228"/>
    <n v="722.07"/>
    <n v="783.87"/>
    <n v="4.0999999999999996"/>
    <n v="1"/>
    <n v="0"/>
    <x v="2"/>
    <n v="0.35182675044883305"/>
    <x v="1"/>
    <x v="0"/>
    <n v="1"/>
    <s v="Excelente"/>
    <n v="32"/>
    <n v="4"/>
  </r>
  <r>
    <s v="TXN015"/>
    <d v="2024-03-03T00:00:00"/>
    <x v="0"/>
    <x v="2"/>
    <x v="1"/>
    <s v="Gaming Pro X1"/>
    <x v="4"/>
    <n v="1362"/>
    <n v="2"/>
    <n v="2451.6"/>
    <n v="960.94"/>
    <n v="721.91"/>
    <n v="4.2"/>
    <n v="2"/>
    <n v="0.1"/>
    <x v="0"/>
    <n v="0.29446483928862782"/>
    <x v="1"/>
    <x v="0"/>
    <n v="1"/>
    <s v="Excelente"/>
    <n v="12"/>
    <n v="4.3"/>
  </r>
  <r>
    <s v="TXN016"/>
    <d v="2024-03-29T00:00:00"/>
    <x v="1"/>
    <x v="2"/>
    <x v="2"/>
    <s v="Galaxy S24"/>
    <x v="2"/>
    <n v="1048"/>
    <n v="5"/>
    <n v="4454"/>
    <n v="654.16"/>
    <n v="1673.81"/>
    <n v="3.4"/>
    <n v="3"/>
    <n v="0.15"/>
    <x v="2"/>
    <n v="0.37579928154467895"/>
    <x v="2"/>
    <x v="0"/>
    <n v="6"/>
    <s v="Buena"/>
    <n v="32"/>
    <n v="4"/>
  </r>
  <r>
    <s v="TXN017"/>
    <d v="2024-03-16T00:00:00"/>
    <x v="1"/>
    <x v="2"/>
    <x v="1"/>
    <s v="Gaming Pro X1"/>
    <x v="5"/>
    <n v="860"/>
    <n v="2"/>
    <n v="1720"/>
    <n v="671.73"/>
    <n v="376.54"/>
    <n v="4.7"/>
    <n v="1"/>
    <n v="0"/>
    <x v="0"/>
    <n v="0.21891860465116281"/>
    <x v="0"/>
    <x v="0"/>
    <n v="7"/>
    <s v="Excelente"/>
    <n v="10"/>
    <n v="4.4000000000000004"/>
  </r>
  <r>
    <s v="TXN018"/>
    <d v="2024-01-31T00:00:00"/>
    <x v="2"/>
    <x v="2"/>
    <x v="2"/>
    <s v="iPhone 15 Pro"/>
    <x v="3"/>
    <n v="1184"/>
    <n v="5"/>
    <n v="5032"/>
    <n v="767.94"/>
    <n v="1768.25"/>
    <n v="3.9"/>
    <n v="4"/>
    <n v="0.15"/>
    <x v="2"/>
    <n v="0.3514010333863275"/>
    <x v="2"/>
    <x v="0"/>
    <n v="4"/>
    <s v="Buena"/>
    <n v="30"/>
    <n v="4.2"/>
  </r>
  <r>
    <s v="TXN019"/>
    <d v="2024-01-13T00:00:00"/>
    <x v="0"/>
    <x v="2"/>
    <x v="2"/>
    <s v="Galaxy S24"/>
    <x v="6"/>
    <n v="1020"/>
    <n v="4"/>
    <n v="4080"/>
    <n v="749.37"/>
    <n v="1082.53"/>
    <n v="5"/>
    <n v="1"/>
    <n v="0"/>
    <x v="2"/>
    <n v="0.26532598039215688"/>
    <x v="0"/>
    <x v="0"/>
    <n v="7"/>
    <s v="Excelente"/>
    <n v="15"/>
    <n v="4.7"/>
  </r>
  <r>
    <s v="TXN020"/>
    <d v="2024-02-21T00:00:00"/>
    <x v="2"/>
    <x v="0"/>
    <x v="1"/>
    <s v="Gaming Pro X1"/>
    <x v="0"/>
    <n v="1349"/>
    <n v="4"/>
    <n v="5126.2"/>
    <n v="923.22"/>
    <n v="1617.95"/>
    <n v="3.6"/>
    <n v="2"/>
    <n v="0.05"/>
    <x v="2"/>
    <n v="0.31562365885061061"/>
    <x v="2"/>
    <x v="0"/>
    <n v="4"/>
    <s v="Excelente"/>
    <n v="12"/>
    <n v="4.5"/>
  </r>
  <r>
    <s v="TXN021"/>
    <d v="2024-02-26T00:00:00"/>
    <x v="0"/>
    <x v="0"/>
    <x v="0"/>
    <s v="Surface Pro 9"/>
    <x v="1"/>
    <n v="395"/>
    <n v="2"/>
    <n v="750.5"/>
    <n v="269.11"/>
    <n v="239.2"/>
    <n v="4"/>
    <n v="7"/>
    <n v="0.05"/>
    <x v="1"/>
    <n v="0.31872085276482343"/>
    <x v="2"/>
    <x v="0"/>
    <n v="2"/>
    <s v="Mejorable"/>
    <n v="37"/>
    <n v="3.6"/>
  </r>
  <r>
    <s v="TXN022"/>
    <d v="2024-01-08T00:00:00"/>
    <x v="1"/>
    <x v="1"/>
    <x v="1"/>
    <s v="Business Y2"/>
    <x v="7"/>
    <n v="1265"/>
    <n v="3"/>
    <n v="3225.75"/>
    <n v="935.24"/>
    <n v="840.89"/>
    <n v="4.5"/>
    <n v="7"/>
    <n v="0.15"/>
    <x v="0"/>
    <n v="0.26068046190808336"/>
    <x v="1"/>
    <x v="0"/>
    <n v="2"/>
    <s v="Mejorable"/>
    <n v="33"/>
    <n v="4.0999999999999996"/>
  </r>
  <r>
    <s v="TXN023"/>
    <d v="2024-03-25T00:00:00"/>
    <x v="3"/>
    <x v="0"/>
    <x v="1"/>
    <s v="Business Y2"/>
    <x v="0"/>
    <n v="859"/>
    <n v="5"/>
    <n v="4295"/>
    <n v="643.9"/>
    <n v="1075.49"/>
    <n v="3.1"/>
    <n v="5"/>
    <n v="0"/>
    <x v="1"/>
    <n v="0.25040512223515715"/>
    <x v="2"/>
    <x v="0"/>
    <n v="2"/>
    <s v="Mejorable"/>
    <n v="12"/>
    <n v="4.5"/>
  </r>
  <r>
    <s v="TXN024"/>
    <d v="2024-03-05T00:00:00"/>
    <x v="1"/>
    <x v="0"/>
    <x v="0"/>
    <s v="iPad Air"/>
    <x v="3"/>
    <n v="370"/>
    <n v="5"/>
    <n v="1850"/>
    <n v="271.97000000000003"/>
    <n v="490.17"/>
    <n v="3.5"/>
    <n v="1"/>
    <n v="0"/>
    <x v="0"/>
    <n v="0.26495675675675678"/>
    <x v="2"/>
    <x v="0"/>
    <n v="3"/>
    <s v="Excelente"/>
    <n v="30"/>
    <n v="4.2"/>
  </r>
  <r>
    <s v="TXN025"/>
    <d v="2024-02-01T00:00:00"/>
    <x v="0"/>
    <x v="2"/>
    <x v="1"/>
    <s v="Business Y2"/>
    <x v="2"/>
    <n v="1067"/>
    <n v="2"/>
    <n v="1920.6"/>
    <n v="691.14"/>
    <n v="676.56"/>
    <n v="3.8"/>
    <n v="6"/>
    <n v="0.1"/>
    <x v="0"/>
    <n v="0.35226491721337083"/>
    <x v="2"/>
    <x v="0"/>
    <n v="5"/>
    <s v="Mejorable"/>
    <n v="32"/>
    <n v="4"/>
  </r>
  <r>
    <s v="TXN026"/>
    <d v="2024-02-08T00:00:00"/>
    <x v="3"/>
    <x v="1"/>
    <x v="1"/>
    <s v="Gaming Pro X1"/>
    <x v="4"/>
    <n v="1376"/>
    <n v="1"/>
    <n v="1376"/>
    <n v="973.56"/>
    <n v="402.44"/>
    <n v="4"/>
    <n v="2"/>
    <n v="0"/>
    <x v="1"/>
    <n v="0.29247093023255816"/>
    <x v="2"/>
    <x v="0"/>
    <n v="5"/>
    <s v="Excelente"/>
    <n v="12"/>
    <n v="4.3"/>
  </r>
  <r>
    <s v="TXN027"/>
    <d v="2024-01-09T00:00:00"/>
    <x v="1"/>
    <x v="1"/>
    <x v="2"/>
    <s v="iPhone 15 Pro"/>
    <x v="4"/>
    <n v="1156"/>
    <n v="3"/>
    <n v="3468"/>
    <n v="848.01"/>
    <n v="923.97"/>
    <n v="4.0999999999999996"/>
    <n v="6"/>
    <n v="0"/>
    <x v="2"/>
    <n v="0.26642733564013843"/>
    <x v="1"/>
    <x v="0"/>
    <n v="3"/>
    <s v="Mejorable"/>
    <n v="12"/>
    <n v="4.3"/>
  </r>
  <r>
    <s v="TXN028"/>
    <d v="2024-01-18T00:00:00"/>
    <x v="2"/>
    <x v="0"/>
    <x v="1"/>
    <s v="UltraBook Z3"/>
    <x v="3"/>
    <n v="1078"/>
    <n v="3"/>
    <n v="3072.3"/>
    <n v="801.52"/>
    <n v="787.98"/>
    <n v="3.4"/>
    <n v="6"/>
    <n v="0.05"/>
    <x v="1"/>
    <n v="0.25647885948637827"/>
    <x v="2"/>
    <x v="0"/>
    <n v="5"/>
    <s v="Mejorable"/>
    <n v="30"/>
    <n v="4.2"/>
  </r>
  <r>
    <s v="TXN029"/>
    <d v="2024-03-05T00:00:00"/>
    <x v="3"/>
    <x v="1"/>
    <x v="1"/>
    <s v="Gaming Pro X1"/>
    <x v="6"/>
    <n v="1083"/>
    <n v="1"/>
    <n v="1083"/>
    <n v="722.05"/>
    <n v="360.95"/>
    <n v="3.3"/>
    <n v="3"/>
    <n v="0"/>
    <x v="2"/>
    <n v="0.33328716528162511"/>
    <x v="2"/>
    <x v="0"/>
    <n v="3"/>
    <s v="Buena"/>
    <n v="15"/>
    <n v="4.7"/>
  </r>
  <r>
    <s v="TXN030"/>
    <d v="2024-02-26T00:00:00"/>
    <x v="3"/>
    <x v="2"/>
    <x v="1"/>
    <s v="Gaming Pro X1"/>
    <x v="5"/>
    <n v="952"/>
    <n v="5"/>
    <n v="4760"/>
    <n v="730.11"/>
    <n v="1109.47"/>
    <n v="4.2"/>
    <n v="2"/>
    <n v="0"/>
    <x v="1"/>
    <n v="0.23308193277310926"/>
    <x v="1"/>
    <x v="0"/>
    <n v="2"/>
    <s v="Excelente"/>
    <n v="10"/>
    <n v="4.4000000000000004"/>
  </r>
  <r>
    <s v="TXN031"/>
    <d v="2024-01-17T00:00:00"/>
    <x v="0"/>
    <x v="1"/>
    <x v="2"/>
    <s v="iPhone 15 Pro"/>
    <x v="2"/>
    <n v="815"/>
    <n v="2"/>
    <n v="1630"/>
    <n v="546.65"/>
    <n v="536.70000000000005"/>
    <n v="4.0999999999999996"/>
    <n v="7"/>
    <n v="0"/>
    <x v="1"/>
    <n v="0.32926380368098163"/>
    <x v="1"/>
    <x v="0"/>
    <n v="4"/>
    <s v="Mejorable"/>
    <n v="32"/>
    <n v="4"/>
  </r>
  <r>
    <s v="TXN032"/>
    <d v="2024-03-20T00:00:00"/>
    <x v="1"/>
    <x v="0"/>
    <x v="1"/>
    <s v="Gaming Pro X1"/>
    <x v="6"/>
    <n v="825"/>
    <n v="2"/>
    <n v="1485"/>
    <n v="624.09"/>
    <n v="361.63"/>
    <n v="3.8"/>
    <n v="6"/>
    <n v="0.1"/>
    <x v="0"/>
    <n v="0.24352188552188553"/>
    <x v="2"/>
    <x v="0"/>
    <n v="4"/>
    <s v="Mejorable"/>
    <n v="15"/>
    <n v="4.7"/>
  </r>
  <r>
    <s v="TXN033"/>
    <d v="2024-02-01T00:00:00"/>
    <x v="2"/>
    <x v="0"/>
    <x v="0"/>
    <s v="iPad Air"/>
    <x v="6"/>
    <n v="339"/>
    <n v="4"/>
    <n v="1288.2"/>
    <n v="216.93"/>
    <n v="463.86"/>
    <n v="4.8"/>
    <n v="3"/>
    <n v="0.05"/>
    <x v="1"/>
    <n v="0.36008383791336751"/>
    <x v="0"/>
    <x v="0"/>
    <n v="5"/>
    <s v="Buena"/>
    <n v="15"/>
    <n v="4.7"/>
  </r>
  <r>
    <s v="TXN034"/>
    <d v="2024-01-30T00:00:00"/>
    <x v="1"/>
    <x v="0"/>
    <x v="0"/>
    <s v="iPad Air"/>
    <x v="6"/>
    <n v="636"/>
    <n v="3"/>
    <n v="1908"/>
    <n v="504.59"/>
    <n v="394.24"/>
    <n v="3.6"/>
    <n v="6"/>
    <n v="0"/>
    <x v="0"/>
    <n v="0.20662473794549266"/>
    <x v="2"/>
    <x v="0"/>
    <n v="3"/>
    <s v="Mejorable"/>
    <n v="15"/>
    <n v="4.7"/>
  </r>
  <r>
    <s v="TXN035"/>
    <d v="2024-02-21T00:00:00"/>
    <x v="2"/>
    <x v="0"/>
    <x v="1"/>
    <s v="Business Y2"/>
    <x v="3"/>
    <n v="1394"/>
    <n v="3"/>
    <n v="4182"/>
    <n v="866.62"/>
    <n v="1582.13"/>
    <n v="3.9"/>
    <n v="6"/>
    <n v="0"/>
    <x v="1"/>
    <n v="0.37831898613103782"/>
    <x v="2"/>
    <x v="0"/>
    <n v="4"/>
    <s v="Mejorable"/>
    <n v="30"/>
    <n v="4.2"/>
  </r>
  <r>
    <s v="TXN036"/>
    <d v="2024-02-25T00:00:00"/>
    <x v="0"/>
    <x v="1"/>
    <x v="0"/>
    <s v="iPad Air"/>
    <x v="7"/>
    <n v="345"/>
    <n v="4"/>
    <n v="1380"/>
    <n v="242.87"/>
    <n v="408.5"/>
    <n v="4.5999999999999996"/>
    <n v="6"/>
    <n v="0"/>
    <x v="0"/>
    <n v="0.29601449275362318"/>
    <x v="0"/>
    <x v="0"/>
    <n v="1"/>
    <s v="Mejorable"/>
    <n v="33"/>
    <n v="4.0999999999999996"/>
  </r>
  <r>
    <s v="TXN037"/>
    <d v="2024-03-26T00:00:00"/>
    <x v="1"/>
    <x v="1"/>
    <x v="2"/>
    <s v="iPhone 15 Pro"/>
    <x v="2"/>
    <n v="921"/>
    <n v="1"/>
    <n v="828.9"/>
    <n v="646.01"/>
    <n v="247.49"/>
    <n v="4.3"/>
    <n v="3"/>
    <n v="0.1"/>
    <x v="1"/>
    <n v="0.29857642658945593"/>
    <x v="1"/>
    <x v="0"/>
    <n v="3"/>
    <s v="Buena"/>
    <n v="32"/>
    <n v="4"/>
  </r>
  <r>
    <s v="TXN038"/>
    <d v="2024-03-30T00:00:00"/>
    <x v="2"/>
    <x v="2"/>
    <x v="1"/>
    <s v="Gaming Pro X1"/>
    <x v="6"/>
    <n v="1188"/>
    <n v="2"/>
    <n v="2138.4"/>
    <n v="809.28"/>
    <n v="681.69"/>
    <n v="4.7"/>
    <n v="3"/>
    <n v="0.1"/>
    <x v="1"/>
    <n v="0.31878507295173963"/>
    <x v="0"/>
    <x v="0"/>
    <n v="7"/>
    <s v="Buena"/>
    <n v="15"/>
    <n v="4.7"/>
  </r>
  <r>
    <s v="TXN039"/>
    <d v="2024-01-27T00:00:00"/>
    <x v="3"/>
    <x v="2"/>
    <x v="0"/>
    <s v="Surface Pro 9"/>
    <x v="2"/>
    <n v="776"/>
    <n v="4"/>
    <n v="2638.4"/>
    <n v="570.46"/>
    <n v="698.85"/>
    <n v="4"/>
    <n v="7"/>
    <n v="0.15"/>
    <x v="0"/>
    <n v="0.26487644026682838"/>
    <x v="2"/>
    <x v="0"/>
    <n v="7"/>
    <s v="Mejorable"/>
    <n v="32"/>
    <n v="4"/>
  </r>
  <r>
    <s v="TXN040"/>
    <d v="2024-01-22T00:00:00"/>
    <x v="0"/>
    <x v="1"/>
    <x v="0"/>
    <s v="Surface Pro 9"/>
    <x v="2"/>
    <n v="395"/>
    <n v="2"/>
    <n v="711"/>
    <n v="254.75"/>
    <n v="252.46"/>
    <n v="3.4"/>
    <n v="1"/>
    <n v="0.1"/>
    <x v="2"/>
    <n v="0.35507735583684952"/>
    <x v="2"/>
    <x v="0"/>
    <n v="2"/>
    <s v="Excelente"/>
    <n v="32"/>
    <n v="4"/>
  </r>
  <r>
    <s v="TXN041"/>
    <d v="2024-02-01T00:00:00"/>
    <x v="3"/>
    <x v="2"/>
    <x v="1"/>
    <s v="Business Y2"/>
    <x v="6"/>
    <n v="1389"/>
    <n v="2"/>
    <n v="2361.3000000000002"/>
    <n v="970.74"/>
    <n v="711.05"/>
    <n v="3.5"/>
    <n v="6"/>
    <n v="0.15"/>
    <x v="0"/>
    <n v="0.30112649811544484"/>
    <x v="2"/>
    <x v="0"/>
    <n v="5"/>
    <s v="Mejorable"/>
    <n v="15"/>
    <n v="4.7"/>
  </r>
  <r>
    <s v="TXN042"/>
    <d v="2024-01-01T00:00:00"/>
    <x v="0"/>
    <x v="1"/>
    <x v="1"/>
    <s v="Gaming Pro X1"/>
    <x v="4"/>
    <n v="851"/>
    <n v="5"/>
    <n v="4042.25"/>
    <n v="666.75"/>
    <n v="875.17"/>
    <n v="3.2"/>
    <n v="2"/>
    <n v="0.05"/>
    <x v="1"/>
    <n v="0.21650565897705484"/>
    <x v="2"/>
    <x v="0"/>
    <n v="2"/>
    <s v="Excelente"/>
    <n v="12"/>
    <n v="4.3"/>
  </r>
  <r>
    <s v="TXN043"/>
    <d v="2024-03-26T00:00:00"/>
    <x v="2"/>
    <x v="1"/>
    <x v="0"/>
    <s v="Surface Pro 9"/>
    <x v="6"/>
    <n v="861"/>
    <n v="4"/>
    <n v="3271.8"/>
    <n v="644.66"/>
    <n v="822.1"/>
    <n v="3.9"/>
    <n v="3"/>
    <n v="0.05"/>
    <x v="2"/>
    <n v="0.25126841493978846"/>
    <x v="2"/>
    <x v="0"/>
    <n v="3"/>
    <s v="Buena"/>
    <n v="15"/>
    <n v="4.7"/>
  </r>
  <r>
    <s v="TXN044"/>
    <d v="2024-03-22T00:00:00"/>
    <x v="2"/>
    <x v="2"/>
    <x v="2"/>
    <s v="Pixel 8 Pro"/>
    <x v="0"/>
    <n v="881"/>
    <n v="4"/>
    <n v="3524"/>
    <n v="654.33000000000004"/>
    <n v="906.69"/>
    <n v="3.5"/>
    <n v="3"/>
    <n v="0"/>
    <x v="1"/>
    <n v="0.25729001135073781"/>
    <x v="2"/>
    <x v="0"/>
    <n v="6"/>
    <s v="Buena"/>
    <n v="12"/>
    <n v="4.5"/>
  </r>
  <r>
    <s v="TXN045"/>
    <d v="2024-03-10T00:00:00"/>
    <x v="0"/>
    <x v="0"/>
    <x v="1"/>
    <s v="Gaming Pro X1"/>
    <x v="6"/>
    <n v="956"/>
    <n v="2"/>
    <n v="1912"/>
    <n v="652.91999999999996"/>
    <n v="606.15"/>
    <n v="3.7"/>
    <n v="4"/>
    <n v="0"/>
    <x v="1"/>
    <n v="0.31702405857740584"/>
    <x v="2"/>
    <x v="0"/>
    <n v="1"/>
    <s v="Buena"/>
    <n v="15"/>
    <n v="4.7"/>
  </r>
  <r>
    <s v="TXN046"/>
    <d v="2024-01-08T00:00:00"/>
    <x v="1"/>
    <x v="1"/>
    <x v="2"/>
    <s v="Pixel 8 Pro"/>
    <x v="1"/>
    <n v="1189"/>
    <n v="4"/>
    <n v="4042.6"/>
    <n v="714.8"/>
    <n v="1612.27"/>
    <n v="3.7"/>
    <n v="7"/>
    <n v="0.15"/>
    <x v="1"/>
    <n v="0.39882006629396921"/>
    <x v="2"/>
    <x v="0"/>
    <n v="2"/>
    <s v="Mejorable"/>
    <n v="37"/>
    <n v="3.6"/>
  </r>
  <r>
    <s v="TXN047"/>
    <d v="2024-02-23T00:00:00"/>
    <x v="1"/>
    <x v="1"/>
    <x v="1"/>
    <s v="Business Y2"/>
    <x v="6"/>
    <n v="1297"/>
    <n v="1"/>
    <n v="1102.45"/>
    <n v="865.39"/>
    <n v="366.87"/>
    <n v="4.4000000000000004"/>
    <n v="4"/>
    <n v="0.15"/>
    <x v="0"/>
    <n v="0.33277699668919225"/>
    <x v="1"/>
    <x v="0"/>
    <n v="6"/>
    <s v="Buena"/>
    <n v="15"/>
    <n v="4.7"/>
  </r>
  <r>
    <s v="TXN048"/>
    <d v="2024-01-22T00:00:00"/>
    <x v="3"/>
    <x v="0"/>
    <x v="0"/>
    <s v="Surface Pro 9"/>
    <x v="1"/>
    <n v="703"/>
    <n v="5"/>
    <n v="3515"/>
    <n v="433.6"/>
    <n v="1346.98"/>
    <n v="3.9"/>
    <n v="7"/>
    <n v="0"/>
    <x v="1"/>
    <n v="0.3832091038406828"/>
    <x v="2"/>
    <x v="0"/>
    <n v="2"/>
    <s v="Mejorable"/>
    <n v="37"/>
    <n v="3.6"/>
  </r>
  <r>
    <s v="TXN049"/>
    <d v="2024-01-24T00:00:00"/>
    <x v="0"/>
    <x v="1"/>
    <x v="2"/>
    <s v="Galaxy S24"/>
    <x v="0"/>
    <n v="1065"/>
    <n v="3"/>
    <n v="2875.5"/>
    <n v="801.14"/>
    <n v="712.42"/>
    <n v="3.8"/>
    <n v="7"/>
    <n v="0.1"/>
    <x v="1"/>
    <n v="0.24775517301338895"/>
    <x v="2"/>
    <x v="0"/>
    <n v="4"/>
    <s v="Mejorable"/>
    <n v="12"/>
    <n v="4.5"/>
  </r>
  <r>
    <s v="TXN050"/>
    <d v="2024-02-02T00:00:00"/>
    <x v="0"/>
    <x v="1"/>
    <x v="1"/>
    <s v="UltraBook Z3"/>
    <x v="1"/>
    <n v="1158"/>
    <n v="2"/>
    <n v="2316"/>
    <n v="875.73"/>
    <n v="564.53"/>
    <n v="4.3"/>
    <n v="7"/>
    <n v="0"/>
    <x v="2"/>
    <n v="0.24375215889464594"/>
    <x v="1"/>
    <x v="0"/>
    <n v="6"/>
    <s v="Mejorable"/>
    <n v="37"/>
    <n v="3.6"/>
  </r>
  <r>
    <s v="TXN051"/>
    <d v="2024-02-01T00:00:00"/>
    <x v="1"/>
    <x v="0"/>
    <x v="0"/>
    <s v="iPad Air"/>
    <x v="0"/>
    <n v="429"/>
    <n v="4"/>
    <n v="1716"/>
    <n v="305.79000000000002"/>
    <n v="492.85"/>
    <n v="3.4"/>
    <n v="6"/>
    <n v="0"/>
    <x v="1"/>
    <n v="0.28720862470862474"/>
    <x v="2"/>
    <x v="0"/>
    <n v="5"/>
    <s v="Mejorable"/>
    <n v="12"/>
    <n v="4.5"/>
  </r>
  <r>
    <s v="TXN052"/>
    <d v="2024-02-17T00:00:00"/>
    <x v="1"/>
    <x v="2"/>
    <x v="0"/>
    <s v="Surface Pro 9"/>
    <x v="5"/>
    <n v="467"/>
    <n v="3"/>
    <n v="1401"/>
    <n v="334.25"/>
    <n v="398.25"/>
    <n v="4.9000000000000004"/>
    <n v="5"/>
    <n v="0"/>
    <x v="0"/>
    <n v="0.28426124197002139"/>
    <x v="0"/>
    <x v="0"/>
    <n v="7"/>
    <s v="Mejorable"/>
    <n v="10"/>
    <n v="4.4000000000000004"/>
  </r>
  <r>
    <s v="TXN053"/>
    <d v="2024-02-18T00:00:00"/>
    <x v="3"/>
    <x v="2"/>
    <x v="1"/>
    <s v="Gaming Pro X1"/>
    <x v="0"/>
    <n v="904"/>
    <n v="3"/>
    <n v="2712"/>
    <n v="686.36"/>
    <n v="652.92999999999995"/>
    <n v="4.0999999999999996"/>
    <n v="1"/>
    <n v="0"/>
    <x v="1"/>
    <n v="0.24075589970501474"/>
    <x v="1"/>
    <x v="0"/>
    <n v="1"/>
    <s v="Excelente"/>
    <n v="12"/>
    <n v="4.5"/>
  </r>
  <r>
    <s v="TXN054"/>
    <d v="2024-03-09T00:00:00"/>
    <x v="3"/>
    <x v="2"/>
    <x v="2"/>
    <s v="iPhone 15 Pro"/>
    <x v="2"/>
    <n v="612"/>
    <n v="4"/>
    <n v="2080.8000000000002"/>
    <n v="380.12"/>
    <n v="788.4"/>
    <n v="4.9000000000000004"/>
    <n v="6"/>
    <n v="0.15"/>
    <x v="1"/>
    <n v="0.37889273356401382"/>
    <x v="0"/>
    <x v="0"/>
    <n v="7"/>
    <s v="Mejorable"/>
    <n v="32"/>
    <n v="4"/>
  </r>
  <r>
    <s v="TXN055"/>
    <d v="2024-01-20T00:00:00"/>
    <x v="3"/>
    <x v="0"/>
    <x v="0"/>
    <s v="Surface Pro 9"/>
    <x v="7"/>
    <n v="851"/>
    <n v="4"/>
    <n v="2893.4"/>
    <n v="584.73"/>
    <n v="905.3"/>
    <n v="4.5"/>
    <n v="3"/>
    <n v="0.15"/>
    <x v="1"/>
    <n v="0.31288449574894583"/>
    <x v="1"/>
    <x v="0"/>
    <n v="7"/>
    <s v="Buena"/>
    <n v="33"/>
    <n v="4.0999999999999996"/>
  </r>
  <r>
    <s v="TXN056"/>
    <d v="2024-02-01T00:00:00"/>
    <x v="0"/>
    <x v="1"/>
    <x v="2"/>
    <s v="iPhone 15 Pro"/>
    <x v="4"/>
    <n v="1183"/>
    <n v="5"/>
    <n v="5027.75"/>
    <n v="789.39"/>
    <n v="1672.84"/>
    <n v="4"/>
    <n v="3"/>
    <n v="0.15"/>
    <x v="2"/>
    <n v="0.33272139625080799"/>
    <x v="2"/>
    <x v="0"/>
    <n v="5"/>
    <s v="Buena"/>
    <n v="12"/>
    <n v="4.3"/>
  </r>
  <r>
    <s v="TXN057"/>
    <d v="2024-03-03T00:00:00"/>
    <x v="1"/>
    <x v="1"/>
    <x v="2"/>
    <s v="Galaxy S24"/>
    <x v="7"/>
    <n v="882"/>
    <n v="5"/>
    <n v="4410"/>
    <n v="620.33000000000004"/>
    <n v="1308.33"/>
    <n v="3.4"/>
    <n v="2"/>
    <n v="0"/>
    <x v="0"/>
    <n v="0.29667346938775507"/>
    <x v="2"/>
    <x v="0"/>
    <n v="1"/>
    <s v="Excelente"/>
    <n v="33"/>
    <n v="4.0999999999999996"/>
  </r>
  <r>
    <s v="TXN058"/>
    <d v="2024-02-22T00:00:00"/>
    <x v="3"/>
    <x v="2"/>
    <x v="1"/>
    <s v="UltraBook Z3"/>
    <x v="4"/>
    <n v="1302"/>
    <n v="4"/>
    <n v="5208"/>
    <n v="805.43"/>
    <n v="1986.28"/>
    <n v="3.4"/>
    <n v="6"/>
    <n v="0"/>
    <x v="2"/>
    <n v="0.38139016897081413"/>
    <x v="2"/>
    <x v="0"/>
    <n v="5"/>
    <s v="Mejorable"/>
    <n v="12"/>
    <n v="4.3"/>
  </r>
  <r>
    <s v="TXN059"/>
    <d v="2024-02-09T00:00:00"/>
    <x v="2"/>
    <x v="1"/>
    <x v="0"/>
    <s v="Surface Pro 9"/>
    <x v="2"/>
    <n v="735"/>
    <n v="5"/>
    <n v="3307.5"/>
    <n v="492.72"/>
    <n v="1090.28"/>
    <n v="3.9"/>
    <n v="3"/>
    <n v="0.1"/>
    <x v="1"/>
    <n v="0.32963869992441419"/>
    <x v="2"/>
    <x v="0"/>
    <n v="6"/>
    <s v="Buena"/>
    <n v="32"/>
    <n v="4"/>
  </r>
  <r>
    <s v="TXN060"/>
    <d v="2024-01-30T00:00:00"/>
    <x v="0"/>
    <x v="2"/>
    <x v="1"/>
    <s v="Business Y2"/>
    <x v="5"/>
    <n v="1348"/>
    <n v="2"/>
    <n v="2561.1999999999998"/>
    <n v="867.14"/>
    <n v="913.64"/>
    <n v="4"/>
    <n v="6"/>
    <n v="0.05"/>
    <x v="0"/>
    <n v="0.35672341090114013"/>
    <x v="2"/>
    <x v="0"/>
    <n v="3"/>
    <s v="Mejorable"/>
    <n v="10"/>
    <n v="4.4000000000000004"/>
  </r>
  <r>
    <s v="TXN061"/>
    <d v="2024-03-08T00:00:00"/>
    <x v="2"/>
    <x v="0"/>
    <x v="1"/>
    <s v="Business Y2"/>
    <x v="0"/>
    <n v="1169"/>
    <n v="2"/>
    <n v="2104.1999999999998"/>
    <n v="704.71"/>
    <n v="835.73"/>
    <n v="4.0999999999999996"/>
    <n v="3"/>
    <n v="0.1"/>
    <x v="2"/>
    <n v="0.39717232202262148"/>
    <x v="1"/>
    <x v="0"/>
    <n v="6"/>
    <s v="Buena"/>
    <n v="12"/>
    <n v="4.5"/>
  </r>
  <r>
    <s v="TXN062"/>
    <d v="2024-01-07T00:00:00"/>
    <x v="2"/>
    <x v="2"/>
    <x v="1"/>
    <s v="UltraBook Z3"/>
    <x v="4"/>
    <n v="905"/>
    <n v="1"/>
    <n v="814.5"/>
    <n v="627.96"/>
    <n v="249.34"/>
    <n v="3.9"/>
    <n v="2"/>
    <n v="0.1"/>
    <x v="2"/>
    <n v="0.30612645794966237"/>
    <x v="2"/>
    <x v="0"/>
    <n v="1"/>
    <s v="Excelente"/>
    <n v="12"/>
    <n v="4.3"/>
  </r>
  <r>
    <s v="TXN063"/>
    <d v="2024-02-02T00:00:00"/>
    <x v="3"/>
    <x v="0"/>
    <x v="1"/>
    <s v="Business Y2"/>
    <x v="4"/>
    <n v="875"/>
    <n v="5"/>
    <n v="4375"/>
    <n v="551.54999999999995"/>
    <n v="1617.24"/>
    <n v="4.5999999999999996"/>
    <n v="3"/>
    <n v="0"/>
    <x v="2"/>
    <n v="0.36965485714285712"/>
    <x v="0"/>
    <x v="0"/>
    <n v="6"/>
    <s v="Buena"/>
    <n v="12"/>
    <n v="4.3"/>
  </r>
  <r>
    <s v="TXN064"/>
    <d v="2024-02-01T00:00:00"/>
    <x v="0"/>
    <x v="2"/>
    <x v="2"/>
    <s v="Pixel 8 Pro"/>
    <x v="0"/>
    <n v="1135"/>
    <n v="4"/>
    <n v="3859"/>
    <n v="887.23"/>
    <n v="842.42"/>
    <n v="3.6"/>
    <n v="5"/>
    <n v="0.15"/>
    <x v="1"/>
    <n v="0.21830007774034724"/>
    <x v="2"/>
    <x v="0"/>
    <n v="5"/>
    <s v="Mejorable"/>
    <n v="12"/>
    <n v="4.5"/>
  </r>
  <r>
    <s v="TXN065"/>
    <d v="2024-02-09T00:00:00"/>
    <x v="0"/>
    <x v="2"/>
    <x v="0"/>
    <s v="iPad Air"/>
    <x v="0"/>
    <n v="516"/>
    <n v="3"/>
    <n v="1548"/>
    <n v="325.81"/>
    <n v="570.58000000000004"/>
    <n v="3.3"/>
    <n v="1"/>
    <n v="0"/>
    <x v="2"/>
    <n v="0.36859173126614991"/>
    <x v="2"/>
    <x v="0"/>
    <n v="6"/>
    <s v="Excelente"/>
    <n v="12"/>
    <n v="4.5"/>
  </r>
  <r>
    <s v="TXN066"/>
    <d v="2024-01-01T00:00:00"/>
    <x v="3"/>
    <x v="1"/>
    <x v="0"/>
    <s v="Surface Pro 9"/>
    <x v="4"/>
    <n v="598"/>
    <n v="1"/>
    <n v="568.1"/>
    <n v="393.26"/>
    <n v="194.51"/>
    <n v="3.6"/>
    <n v="7"/>
    <n v="0.05"/>
    <x v="1"/>
    <n v="0.34238690371413483"/>
    <x v="2"/>
    <x v="0"/>
    <n v="2"/>
    <s v="Mejorable"/>
    <n v="12"/>
    <n v="4.3"/>
  </r>
  <r>
    <s v="TXN067"/>
    <d v="2024-01-10T00:00:00"/>
    <x v="1"/>
    <x v="1"/>
    <x v="0"/>
    <s v="Surface Pro 9"/>
    <x v="0"/>
    <n v="735"/>
    <n v="1"/>
    <n v="698.25"/>
    <n v="536.20000000000005"/>
    <n v="188.86"/>
    <n v="4.8"/>
    <n v="7"/>
    <n v="0.05"/>
    <x v="2"/>
    <n v="0.27047619047619048"/>
    <x v="0"/>
    <x v="0"/>
    <n v="4"/>
    <s v="Mejorable"/>
    <n v="12"/>
    <n v="4.5"/>
  </r>
  <r>
    <s v="TXN068"/>
    <d v="2024-01-10T00:00:00"/>
    <x v="0"/>
    <x v="0"/>
    <x v="2"/>
    <s v="Pixel 8 Pro"/>
    <x v="7"/>
    <n v="1049"/>
    <n v="1"/>
    <n v="891.65"/>
    <n v="773.88"/>
    <n v="233.85"/>
    <n v="4.4000000000000004"/>
    <n v="3"/>
    <n v="0.15"/>
    <x v="0"/>
    <n v="0.26226658442213874"/>
    <x v="1"/>
    <x v="0"/>
    <n v="4"/>
    <s v="Buena"/>
    <n v="33"/>
    <n v="4.0999999999999996"/>
  </r>
  <r>
    <s v="TXN069"/>
    <d v="2024-03-10T00:00:00"/>
    <x v="3"/>
    <x v="1"/>
    <x v="1"/>
    <s v="UltraBook Z3"/>
    <x v="1"/>
    <n v="1242"/>
    <n v="3"/>
    <n v="3353.4"/>
    <n v="751.62"/>
    <n v="1324.01"/>
    <n v="3.5"/>
    <n v="6"/>
    <n v="0.1"/>
    <x v="0"/>
    <n v="0.39482614659748316"/>
    <x v="2"/>
    <x v="0"/>
    <n v="1"/>
    <s v="Mejorable"/>
    <n v="37"/>
    <n v="3.6"/>
  </r>
  <r>
    <s v="TXN070"/>
    <d v="2024-03-16T00:00:00"/>
    <x v="0"/>
    <x v="2"/>
    <x v="2"/>
    <s v="Pixel 8 Pro"/>
    <x v="1"/>
    <n v="779"/>
    <n v="4"/>
    <n v="2648.6"/>
    <n v="610.12"/>
    <n v="574.17999999999995"/>
    <n v="3.4"/>
    <n v="5"/>
    <n v="0.15"/>
    <x v="1"/>
    <n v="0.21678622668579625"/>
    <x v="2"/>
    <x v="0"/>
    <n v="7"/>
    <s v="Mejorable"/>
    <n v="37"/>
    <n v="3.6"/>
  </r>
  <r>
    <s v="TXN071"/>
    <d v="2024-03-22T00:00:00"/>
    <x v="3"/>
    <x v="0"/>
    <x v="2"/>
    <s v="Galaxy S24"/>
    <x v="6"/>
    <n v="941"/>
    <n v="3"/>
    <n v="2823"/>
    <n v="726.03"/>
    <n v="644.91999999999996"/>
    <n v="3.7"/>
    <n v="6"/>
    <n v="0"/>
    <x v="1"/>
    <n v="0.22845200141693234"/>
    <x v="2"/>
    <x v="0"/>
    <n v="6"/>
    <s v="Mejorable"/>
    <n v="15"/>
    <n v="4.7"/>
  </r>
  <r>
    <s v="TXN072"/>
    <d v="2024-02-06T00:00:00"/>
    <x v="3"/>
    <x v="2"/>
    <x v="1"/>
    <s v="Business Y2"/>
    <x v="5"/>
    <n v="1122"/>
    <n v="3"/>
    <n v="3029.4"/>
    <n v="699.21"/>
    <n v="1141.53"/>
    <n v="4.5"/>
    <n v="7"/>
    <n v="0.1"/>
    <x v="0"/>
    <n v="0.37681719152307386"/>
    <x v="1"/>
    <x v="0"/>
    <n v="3"/>
    <s v="Mejorable"/>
    <n v="10"/>
    <n v="4.4000000000000004"/>
  </r>
  <r>
    <s v="TXN073"/>
    <d v="2024-01-01T00:00:00"/>
    <x v="3"/>
    <x v="1"/>
    <x v="1"/>
    <s v="Gaming Pro X1"/>
    <x v="2"/>
    <n v="1310"/>
    <n v="4"/>
    <n v="5240"/>
    <n v="839.33"/>
    <n v="1882.67"/>
    <n v="4.0999999999999996"/>
    <n v="3"/>
    <n v="0"/>
    <x v="1"/>
    <n v="0.35928816793893131"/>
    <x v="1"/>
    <x v="0"/>
    <n v="2"/>
    <s v="Buena"/>
    <n v="32"/>
    <n v="4"/>
  </r>
  <r>
    <s v="TXN074"/>
    <d v="2024-03-30T00:00:00"/>
    <x v="3"/>
    <x v="0"/>
    <x v="1"/>
    <s v="UltraBook Z3"/>
    <x v="0"/>
    <n v="962"/>
    <n v="3"/>
    <n v="2886"/>
    <n v="683.45"/>
    <n v="835.64"/>
    <n v="3.2"/>
    <n v="7"/>
    <n v="0"/>
    <x v="2"/>
    <n v="0.28954954954954953"/>
    <x v="2"/>
    <x v="0"/>
    <n v="7"/>
    <s v="Mejorable"/>
    <n v="12"/>
    <n v="4.5"/>
  </r>
  <r>
    <s v="TXN075"/>
    <d v="2024-02-29T00:00:00"/>
    <x v="0"/>
    <x v="2"/>
    <x v="1"/>
    <s v="Business Y2"/>
    <x v="7"/>
    <n v="1321"/>
    <n v="3"/>
    <n v="3368.55"/>
    <n v="1013.13"/>
    <n v="785.06"/>
    <n v="5"/>
    <n v="2"/>
    <n v="0.15"/>
    <x v="1"/>
    <n v="0.23305576583396415"/>
    <x v="0"/>
    <x v="0"/>
    <n v="5"/>
    <s v="Excelente"/>
    <n v="33"/>
    <n v="4.0999999999999996"/>
  </r>
  <r>
    <s v="TXN076"/>
    <d v="2024-03-11T00:00:00"/>
    <x v="1"/>
    <x v="1"/>
    <x v="1"/>
    <s v="UltraBook Z3"/>
    <x v="3"/>
    <n v="871"/>
    <n v="3"/>
    <n v="2221.0500000000002"/>
    <n v="581.80999999999995"/>
    <n v="737.44"/>
    <n v="4.5999999999999996"/>
    <n v="3"/>
    <n v="0.15"/>
    <x v="2"/>
    <n v="0.33202314220751444"/>
    <x v="0"/>
    <x v="0"/>
    <n v="2"/>
    <s v="Buena"/>
    <n v="30"/>
    <n v="4.2"/>
  </r>
  <r>
    <s v="TXN077"/>
    <d v="2024-02-06T00:00:00"/>
    <x v="2"/>
    <x v="2"/>
    <x v="0"/>
    <s v="Surface Pro 9"/>
    <x v="4"/>
    <n v="452"/>
    <n v="4"/>
    <n v="1536.8"/>
    <n v="302.39999999999998"/>
    <n v="508.64"/>
    <n v="4.0999999999999996"/>
    <n v="5"/>
    <n v="0.15"/>
    <x v="1"/>
    <n v="0.33097345132743361"/>
    <x v="1"/>
    <x v="0"/>
    <n v="3"/>
    <s v="Mejorable"/>
    <n v="12"/>
    <n v="4.3"/>
  </r>
  <r>
    <s v="TXN078"/>
    <d v="2024-02-28T00:00:00"/>
    <x v="2"/>
    <x v="0"/>
    <x v="0"/>
    <s v="iPad Air"/>
    <x v="6"/>
    <n v="539"/>
    <n v="4"/>
    <n v="2156"/>
    <n v="357.7"/>
    <n v="725.2"/>
    <n v="3.9"/>
    <n v="7"/>
    <n v="0"/>
    <x v="1"/>
    <n v="0.33636363636363636"/>
    <x v="2"/>
    <x v="0"/>
    <n v="4"/>
    <s v="Mejorable"/>
    <n v="15"/>
    <n v="4.7"/>
  </r>
  <r>
    <s v="TXN079"/>
    <d v="2024-02-19T00:00:00"/>
    <x v="1"/>
    <x v="1"/>
    <x v="1"/>
    <s v="Gaming Pro X1"/>
    <x v="2"/>
    <n v="902"/>
    <n v="4"/>
    <n v="3608"/>
    <n v="636.08000000000004"/>
    <n v="1063.67"/>
    <n v="3.9"/>
    <n v="6"/>
    <n v="0"/>
    <x v="2"/>
    <n v="0.29480875831485592"/>
    <x v="2"/>
    <x v="0"/>
    <n v="2"/>
    <s v="Mejorable"/>
    <n v="32"/>
    <n v="4"/>
  </r>
  <r>
    <s v="TXN080"/>
    <d v="2024-02-22T00:00:00"/>
    <x v="1"/>
    <x v="0"/>
    <x v="2"/>
    <s v="Galaxy S24"/>
    <x v="2"/>
    <n v="1007"/>
    <n v="1"/>
    <n v="906.3"/>
    <n v="775.86"/>
    <n v="208.02"/>
    <n v="4.7"/>
    <n v="4"/>
    <n v="0.1"/>
    <x v="1"/>
    <n v="0.22952664680569351"/>
    <x v="0"/>
    <x v="0"/>
    <n v="5"/>
    <s v="Buena"/>
    <n v="32"/>
    <n v="4"/>
  </r>
  <r>
    <s v="TXN081"/>
    <d v="2024-03-21T00:00:00"/>
    <x v="3"/>
    <x v="2"/>
    <x v="1"/>
    <s v="UltraBook Z3"/>
    <x v="5"/>
    <n v="1040"/>
    <n v="3"/>
    <n v="2964"/>
    <n v="779.33"/>
    <n v="742.92"/>
    <n v="3.9"/>
    <n v="1"/>
    <n v="0.05"/>
    <x v="0"/>
    <n v="0.25064777327935223"/>
    <x v="2"/>
    <x v="0"/>
    <n v="5"/>
    <s v="Excelente"/>
    <n v="10"/>
    <n v="4.4000000000000004"/>
  </r>
  <r>
    <s v="TXN082"/>
    <d v="2024-01-13T00:00:00"/>
    <x v="3"/>
    <x v="0"/>
    <x v="0"/>
    <s v="Galaxy Tab S9"/>
    <x v="1"/>
    <n v="347"/>
    <n v="3"/>
    <n v="1041"/>
    <n v="228.56"/>
    <n v="355.32"/>
    <n v="3.7"/>
    <n v="2"/>
    <n v="0"/>
    <x v="2"/>
    <n v="0.34132564841498558"/>
    <x v="2"/>
    <x v="0"/>
    <n v="7"/>
    <s v="Excelente"/>
    <n v="37"/>
    <n v="3.6"/>
  </r>
  <r>
    <s v="TXN083"/>
    <d v="2024-03-08T00:00:00"/>
    <x v="3"/>
    <x v="2"/>
    <x v="0"/>
    <s v="iPad Air"/>
    <x v="3"/>
    <n v="479"/>
    <n v="1"/>
    <n v="407.15"/>
    <n v="346.77"/>
    <n v="112.4"/>
    <n v="3.5"/>
    <n v="5"/>
    <n v="0.15"/>
    <x v="2"/>
    <n v="0.27606533218715462"/>
    <x v="2"/>
    <x v="0"/>
    <n v="6"/>
    <s v="Mejorable"/>
    <n v="30"/>
    <n v="4.2"/>
  </r>
  <r>
    <s v="TXN084"/>
    <d v="2024-01-30T00:00:00"/>
    <x v="3"/>
    <x v="2"/>
    <x v="2"/>
    <s v="Galaxy S24"/>
    <x v="7"/>
    <n v="609"/>
    <n v="4"/>
    <n v="2192.4"/>
    <n v="447.93"/>
    <n v="579.84"/>
    <n v="3.3"/>
    <n v="4"/>
    <n v="0.1"/>
    <x v="1"/>
    <n v="0.26447728516694036"/>
    <x v="2"/>
    <x v="0"/>
    <n v="3"/>
    <s v="Buena"/>
    <n v="33"/>
    <n v="4.0999999999999996"/>
  </r>
  <r>
    <s v="TXN085"/>
    <d v="2024-03-16T00:00:00"/>
    <x v="2"/>
    <x v="2"/>
    <x v="2"/>
    <s v="Pixel 8 Pro"/>
    <x v="7"/>
    <n v="1067"/>
    <n v="3"/>
    <n v="3040.95"/>
    <n v="853.47"/>
    <n v="608.57000000000005"/>
    <n v="4.7"/>
    <n v="1"/>
    <n v="0.05"/>
    <x v="2"/>
    <n v="0.20012496094970325"/>
    <x v="0"/>
    <x v="0"/>
    <n v="7"/>
    <s v="Excelente"/>
    <n v="33"/>
    <n v="4.0999999999999996"/>
  </r>
  <r>
    <s v="TXN086"/>
    <d v="2024-02-18T00:00:00"/>
    <x v="2"/>
    <x v="2"/>
    <x v="2"/>
    <s v="Pixel 8 Pro"/>
    <x v="7"/>
    <n v="622"/>
    <n v="4"/>
    <n v="2239.1999999999998"/>
    <n v="374.21"/>
    <n v="892.05"/>
    <n v="4.7"/>
    <n v="7"/>
    <n v="0.1"/>
    <x v="0"/>
    <n v="0.39837888531618437"/>
    <x v="0"/>
    <x v="0"/>
    <n v="1"/>
    <s v="Mejorable"/>
    <n v="33"/>
    <n v="4.0999999999999996"/>
  </r>
  <r>
    <s v="TXN087"/>
    <d v="2024-01-07T00:00:00"/>
    <x v="3"/>
    <x v="1"/>
    <x v="1"/>
    <s v="UltraBook Z3"/>
    <x v="2"/>
    <n v="1024"/>
    <n v="2"/>
    <n v="1843.2"/>
    <n v="753.21"/>
    <n v="487.43"/>
    <n v="4.4000000000000004"/>
    <n v="6"/>
    <n v="0.1"/>
    <x v="0"/>
    <n v="0.26444769965277776"/>
    <x v="1"/>
    <x v="0"/>
    <n v="1"/>
    <s v="Mejorable"/>
    <n v="32"/>
    <n v="4"/>
  </r>
  <r>
    <s v="TXN088"/>
    <d v="2024-01-18T00:00:00"/>
    <x v="0"/>
    <x v="2"/>
    <x v="0"/>
    <s v="iPad Air"/>
    <x v="7"/>
    <n v="751"/>
    <n v="1"/>
    <n v="675.9"/>
    <n v="560.6"/>
    <n v="171.36"/>
    <n v="3.2"/>
    <n v="3"/>
    <n v="0.1"/>
    <x v="1"/>
    <n v="0.25352862849533958"/>
    <x v="2"/>
    <x v="0"/>
    <n v="5"/>
    <s v="Buena"/>
    <n v="33"/>
    <n v="4.0999999999999996"/>
  </r>
  <r>
    <s v="TXN089"/>
    <d v="2024-02-23T00:00:00"/>
    <x v="1"/>
    <x v="0"/>
    <x v="1"/>
    <s v="UltraBook Z3"/>
    <x v="2"/>
    <n v="1343"/>
    <n v="5"/>
    <n v="6043.5"/>
    <n v="1028.8599999999999"/>
    <n v="1413.61"/>
    <n v="3.5"/>
    <n v="7"/>
    <n v="0.1"/>
    <x v="1"/>
    <n v="0.23390584925953503"/>
    <x v="2"/>
    <x v="0"/>
    <n v="6"/>
    <s v="Mejorable"/>
    <n v="32"/>
    <n v="4"/>
  </r>
  <r>
    <s v="TXN090"/>
    <d v="2024-02-07T00:00:00"/>
    <x v="2"/>
    <x v="0"/>
    <x v="2"/>
    <s v="iPhone 15 Pro"/>
    <x v="3"/>
    <n v="831"/>
    <n v="4"/>
    <n v="2991.6"/>
    <n v="513.61"/>
    <n v="1142.6099999999999"/>
    <n v="3.8"/>
    <n v="3"/>
    <n v="0.1"/>
    <x v="0"/>
    <n v="0.38193943040513434"/>
    <x v="2"/>
    <x v="0"/>
    <n v="4"/>
    <s v="Buena"/>
    <n v="30"/>
    <n v="4.2"/>
  </r>
  <r>
    <s v="TXN091"/>
    <d v="2024-01-16T00:00:00"/>
    <x v="3"/>
    <x v="1"/>
    <x v="0"/>
    <s v="Surface Pro 9"/>
    <x v="7"/>
    <n v="898"/>
    <n v="4"/>
    <n v="3232.8"/>
    <n v="558.26"/>
    <n v="1223.07"/>
    <n v="3.5"/>
    <n v="1"/>
    <n v="0.1"/>
    <x v="0"/>
    <n v="0.37833147735708977"/>
    <x v="2"/>
    <x v="0"/>
    <n v="3"/>
    <s v="Excelente"/>
    <n v="33"/>
    <n v="4.0999999999999996"/>
  </r>
  <r>
    <s v="TXN092"/>
    <d v="2024-03-12T00:00:00"/>
    <x v="2"/>
    <x v="2"/>
    <x v="1"/>
    <s v="UltraBook Z3"/>
    <x v="5"/>
    <n v="1275"/>
    <n v="3"/>
    <n v="3251.25"/>
    <n v="794.75"/>
    <n v="1224.6300000000001"/>
    <n v="3.1"/>
    <n v="1"/>
    <n v="0.15"/>
    <x v="1"/>
    <n v="0.37666435986159175"/>
    <x v="2"/>
    <x v="0"/>
    <n v="3"/>
    <s v="Excelente"/>
    <n v="10"/>
    <n v="4.4000000000000004"/>
  </r>
  <r>
    <s v="TXN093"/>
    <d v="2024-03-04T00:00:00"/>
    <x v="0"/>
    <x v="0"/>
    <x v="1"/>
    <s v="UltraBook Z3"/>
    <x v="3"/>
    <n v="1197"/>
    <n v="4"/>
    <n v="4309.2"/>
    <n v="878.71"/>
    <n v="1145.83"/>
    <n v="4.5"/>
    <n v="5"/>
    <n v="0.1"/>
    <x v="1"/>
    <n v="0.26590318388563999"/>
    <x v="1"/>
    <x v="0"/>
    <n v="2"/>
    <s v="Mejorable"/>
    <n v="30"/>
    <n v="4.2"/>
  </r>
  <r>
    <s v="TXN094"/>
    <d v="2024-03-16T00:00:00"/>
    <x v="1"/>
    <x v="1"/>
    <x v="0"/>
    <s v="iPad Air"/>
    <x v="4"/>
    <n v="717"/>
    <n v="3"/>
    <n v="2151"/>
    <n v="529.19000000000005"/>
    <n v="563.44000000000005"/>
    <n v="3.4"/>
    <n v="4"/>
    <n v="0"/>
    <x v="2"/>
    <n v="0.26194328219432822"/>
    <x v="2"/>
    <x v="0"/>
    <n v="7"/>
    <s v="Buena"/>
    <n v="12"/>
    <n v="4.3"/>
  </r>
  <r>
    <s v="TXN095"/>
    <d v="2024-02-16T00:00:00"/>
    <x v="0"/>
    <x v="2"/>
    <x v="2"/>
    <s v="Pixel 8 Pro"/>
    <x v="2"/>
    <n v="662"/>
    <n v="4"/>
    <n v="2383.1999999999998"/>
    <n v="422.33"/>
    <n v="862.81"/>
    <n v="3.2"/>
    <n v="7"/>
    <n v="0.1"/>
    <x v="1"/>
    <n v="0.36203843571668348"/>
    <x v="2"/>
    <x v="0"/>
    <n v="6"/>
    <s v="Mejorable"/>
    <n v="32"/>
    <n v="4"/>
  </r>
  <r>
    <s v="TXN096"/>
    <d v="2024-01-12T00:00:00"/>
    <x v="1"/>
    <x v="2"/>
    <x v="0"/>
    <s v="Surface Pro 9"/>
    <x v="1"/>
    <n v="351"/>
    <n v="3"/>
    <n v="1000.35"/>
    <n v="280.02"/>
    <n v="202.31"/>
    <n v="4.5999999999999996"/>
    <n v="2"/>
    <n v="0.05"/>
    <x v="2"/>
    <n v="0.202239216274304"/>
    <x v="0"/>
    <x v="0"/>
    <n v="6"/>
    <s v="Excelente"/>
    <n v="37"/>
    <n v="3.6"/>
  </r>
  <r>
    <s v="TXN097"/>
    <d v="2024-03-11T00:00:00"/>
    <x v="1"/>
    <x v="2"/>
    <x v="1"/>
    <s v="Gaming Pro X1"/>
    <x v="2"/>
    <n v="951"/>
    <n v="5"/>
    <n v="4755"/>
    <n v="623.34"/>
    <n v="1638.31"/>
    <n v="5"/>
    <n v="2"/>
    <n v="0"/>
    <x v="0"/>
    <n v="0.3445446898002103"/>
    <x v="0"/>
    <x v="0"/>
    <n v="2"/>
    <s v="Excelente"/>
    <n v="32"/>
    <n v="4"/>
  </r>
  <r>
    <s v="TXN098"/>
    <d v="2024-02-02T00:00:00"/>
    <x v="1"/>
    <x v="0"/>
    <x v="0"/>
    <s v="iPad Air"/>
    <x v="3"/>
    <n v="315"/>
    <n v="3"/>
    <n v="897.75"/>
    <n v="226.1"/>
    <n v="253.37"/>
    <n v="3"/>
    <n v="3"/>
    <n v="0.05"/>
    <x v="2"/>
    <n v="0.28222779170147594"/>
    <x v="2"/>
    <x v="0"/>
    <n v="6"/>
    <s v="Buena"/>
    <n v="30"/>
    <n v="4.2"/>
  </r>
  <r>
    <s v="TXN099"/>
    <d v="2024-01-17T00:00:00"/>
    <x v="3"/>
    <x v="2"/>
    <x v="1"/>
    <s v="UltraBook Z3"/>
    <x v="5"/>
    <n v="1287"/>
    <n v="4"/>
    <n v="4633.2"/>
    <n v="904.31"/>
    <n v="1377.69"/>
    <n v="3.2"/>
    <n v="5"/>
    <n v="0.1"/>
    <x v="2"/>
    <n v="0.29735172235172236"/>
    <x v="2"/>
    <x v="0"/>
    <n v="4"/>
    <s v="Mejorable"/>
    <n v="10"/>
    <n v="4.4000000000000004"/>
  </r>
  <r>
    <s v="TXN100"/>
    <d v="2024-03-19T00:00:00"/>
    <x v="0"/>
    <x v="2"/>
    <x v="0"/>
    <s v="Surface Pro 9"/>
    <x v="7"/>
    <n v="769"/>
    <n v="1"/>
    <n v="769"/>
    <n v="614.98"/>
    <n v="154.02000000000001"/>
    <n v="4.7"/>
    <n v="4"/>
    <n v="0"/>
    <x v="0"/>
    <n v="0.20028608582574775"/>
    <x v="0"/>
    <x v="0"/>
    <n v="3"/>
    <s v="Buena"/>
    <n v="33"/>
    <n v="4.0999999999999996"/>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s v="TXN001"/>
    <x v="0"/>
    <x v="0"/>
    <x v="0"/>
    <x v="0"/>
    <x v="0"/>
    <s v="José Martín"/>
    <n v="528"/>
    <n v="2"/>
    <n v="1056"/>
    <n v="388.26"/>
    <n v="279.48"/>
    <n v="4.8"/>
    <n v="1"/>
    <n v="0"/>
    <s v="Transferencia"/>
    <n v="0.2646590909090909"/>
    <s v="Premium"/>
    <s v="Q1"/>
    <n v="6"/>
    <s v="Excelente"/>
    <n v="12"/>
    <n v="4.5"/>
    <n v="44"/>
    <n v="-1.061324310759995"/>
    <s v="No"/>
    <s v="No"/>
  </r>
  <r>
    <s v="TXN002"/>
    <x v="1"/>
    <x v="0"/>
    <x v="0"/>
    <x v="1"/>
    <x v="1"/>
    <s v="José Martín"/>
    <n v="1317"/>
    <n v="5"/>
    <n v="6585"/>
    <n v="938.03"/>
    <n v="1894.84"/>
    <n v="4.4000000000000004"/>
    <n v="6"/>
    <n v="0"/>
    <s v="Transferencia"/>
    <n v="0.28775094912680332"/>
    <s v="Estandar"/>
    <s v="Q1"/>
    <n v="7"/>
    <s v="Mejorable"/>
    <n v="12"/>
    <n v="4.5"/>
    <n v="41"/>
    <n v="2.8525514017852927"/>
    <s v="Sí"/>
    <s v="Sí"/>
  </r>
  <r>
    <s v="TXN003"/>
    <x v="2"/>
    <x v="1"/>
    <x v="1"/>
    <x v="0"/>
    <x v="0"/>
    <s v="Ana García"/>
    <n v="463"/>
    <n v="4"/>
    <n v="1666.8"/>
    <n v="303.52999999999997"/>
    <n v="574.09"/>
    <n v="3.4"/>
    <n v="7"/>
    <n v="0.1"/>
    <s v="Efectivo"/>
    <n v="0.3444264458843293"/>
    <s v="Riesgo"/>
    <s v="Q1"/>
    <n v="6"/>
    <s v="Mejorable"/>
    <n v="37"/>
    <n v="3.6"/>
    <n v="44"/>
    <n v="-0.62895041218472614"/>
    <s v="No"/>
    <s v="No"/>
  </r>
  <r>
    <s v="TXN004"/>
    <x v="3"/>
    <x v="0"/>
    <x v="1"/>
    <x v="1"/>
    <x v="2"/>
    <s v="Pedro González"/>
    <n v="1070"/>
    <n v="1"/>
    <n v="909.5"/>
    <n v="756.75"/>
    <n v="266.26"/>
    <n v="4.9000000000000004"/>
    <n v="4"/>
    <n v="0.15"/>
    <s v="Tarjeta"/>
    <n v="0.29275426058273774"/>
    <s v="Premium"/>
    <s v="Q1"/>
    <n v="1"/>
    <s v="Buena"/>
    <n v="32"/>
    <n v="4"/>
    <n v="41"/>
    <n v="-1.1650289213383789"/>
    <s v="No"/>
    <s v="No"/>
  </r>
  <r>
    <s v="TXN005"/>
    <x v="4"/>
    <x v="2"/>
    <x v="2"/>
    <x v="0"/>
    <x v="0"/>
    <s v="José Martín"/>
    <n v="371"/>
    <n v="1"/>
    <n v="352.45"/>
    <n v="279.95999999999998"/>
    <n v="86.49"/>
    <n v="5"/>
    <n v="7"/>
    <n v="0.05"/>
    <s v="Tarjeta"/>
    <n v="0.24539651014328273"/>
    <s v="Premium"/>
    <s v="Q1"/>
    <n v="2"/>
    <s v="Mejorable"/>
    <n v="12"/>
    <n v="4.5"/>
    <n v="44"/>
    <n v="-1.5593541999915446"/>
    <s v="No"/>
    <s v="No"/>
  </r>
  <r>
    <s v="TXN006"/>
    <x v="5"/>
    <x v="3"/>
    <x v="1"/>
    <x v="2"/>
    <x v="3"/>
    <s v="Pedro González"/>
    <n v="766"/>
    <n v="3"/>
    <n v="2068.1999999999998"/>
    <n v="491.7"/>
    <n v="740.62"/>
    <n v="3.5"/>
    <n v="6"/>
    <n v="0.1"/>
    <s v="Transferencia"/>
    <n v="0.35809882990039649"/>
    <s v="Riesgo"/>
    <s v="Q1"/>
    <n v="7"/>
    <s v="Mejorable"/>
    <n v="32"/>
    <n v="4"/>
    <n v="37"/>
    <n v="-0.34480685801296307"/>
    <s v="No"/>
    <s v="No"/>
  </r>
  <r>
    <s v="TXN007"/>
    <x v="6"/>
    <x v="1"/>
    <x v="2"/>
    <x v="0"/>
    <x v="4"/>
    <s v="María Rodríguez"/>
    <n v="773"/>
    <n v="4"/>
    <n v="2782.8"/>
    <n v="616.78"/>
    <n v="562.39"/>
    <n v="4.3"/>
    <n v="5"/>
    <n v="0.1"/>
    <s v="Tarjeta"/>
    <n v="0.20209501221791001"/>
    <s v="Estandar"/>
    <s v="Q1"/>
    <n v="4"/>
    <s v="Mejorable"/>
    <n v="30"/>
    <n v="4.2"/>
    <n v="38"/>
    <n v="0.16104511959327025"/>
    <s v="No"/>
    <s v="No"/>
  </r>
  <r>
    <s v="TXN008"/>
    <x v="7"/>
    <x v="2"/>
    <x v="0"/>
    <x v="1"/>
    <x v="1"/>
    <s v="Pedro González"/>
    <n v="1210"/>
    <n v="3"/>
    <n v="3630"/>
    <n v="777.06"/>
    <n v="1298.83"/>
    <n v="4.9000000000000004"/>
    <n v="6"/>
    <n v="0"/>
    <s v="Efectivo"/>
    <n v="0.35780440771349858"/>
    <s v="Premium"/>
    <s v="Q1"/>
    <n v="5"/>
    <s v="Mejorable"/>
    <n v="32"/>
    <n v="4"/>
    <n v="41"/>
    <n v="0.76076215769570599"/>
    <s v="No"/>
    <s v="No"/>
  </r>
  <r>
    <s v="TXN009"/>
    <x v="8"/>
    <x v="3"/>
    <x v="1"/>
    <x v="0"/>
    <x v="0"/>
    <s v="María Rodríguez"/>
    <n v="571"/>
    <n v="2"/>
    <n v="1084.9000000000001"/>
    <n v="427.68"/>
    <n v="272.31"/>
    <n v="4.0999999999999996"/>
    <n v="6"/>
    <n v="0.05"/>
    <s v="Transferencia"/>
    <n v="0.25100009217439395"/>
    <s v="Estandar"/>
    <s v="Q1"/>
    <n v="1"/>
    <s v="Mejorable"/>
    <n v="30"/>
    <n v="4.2"/>
    <n v="44"/>
    <n v="-1.0408665411646687"/>
    <s v="No"/>
    <s v="No"/>
  </r>
  <r>
    <s v="TXN010"/>
    <x v="1"/>
    <x v="3"/>
    <x v="1"/>
    <x v="1"/>
    <x v="1"/>
    <s v="Miguel Torres"/>
    <n v="893"/>
    <n v="1"/>
    <n v="893"/>
    <n v="563.1"/>
    <n v="329.9"/>
    <n v="3.3"/>
    <n v="6"/>
    <n v="0"/>
    <s v="Efectivo"/>
    <n v="0.36942889137737961"/>
    <s v="Riesgo"/>
    <s v="Q1"/>
    <n v="7"/>
    <s v="Mejorable"/>
    <n v="12"/>
    <n v="4.3"/>
    <n v="41"/>
    <n v="-1.1767089628028384"/>
    <s v="No"/>
    <s v="No"/>
  </r>
  <r>
    <s v="TXN011"/>
    <x v="9"/>
    <x v="0"/>
    <x v="1"/>
    <x v="2"/>
    <x v="3"/>
    <s v="Miguel Torres"/>
    <n v="1141"/>
    <n v="3"/>
    <n v="3423"/>
    <n v="839.84"/>
    <n v="903.48"/>
    <n v="3.2"/>
    <n v="5"/>
    <n v="0"/>
    <s v="Efectivo"/>
    <n v="0.26394390885188429"/>
    <s v="Riesgo"/>
    <s v="Q1"/>
    <n v="1"/>
    <s v="Mejorable"/>
    <n v="12"/>
    <n v="4.3"/>
    <n v="37"/>
    <n v="0.61423072841430348"/>
    <s v="No"/>
    <s v="No"/>
  </r>
  <r>
    <s v="TXN012"/>
    <x v="10"/>
    <x v="2"/>
    <x v="0"/>
    <x v="2"/>
    <x v="5"/>
    <s v="María Rodríguez"/>
    <n v="1064"/>
    <n v="1"/>
    <n v="957.6"/>
    <n v="845.22"/>
    <n v="196.9"/>
    <n v="4.5"/>
    <n v="5"/>
    <n v="0.1"/>
    <s v="Tarjeta"/>
    <n v="0.20561821219715956"/>
    <s v="Estandar"/>
    <s v="Q1"/>
    <n v="7"/>
    <s v="Mejorable"/>
    <n v="30"/>
    <n v="4.2"/>
    <n v="35"/>
    <n v="-1.1309798307662269"/>
    <s v="No"/>
    <s v="No"/>
  </r>
  <r>
    <s v="TXN013"/>
    <x v="11"/>
    <x v="2"/>
    <x v="2"/>
    <x v="0"/>
    <x v="6"/>
    <s v="José Martín"/>
    <n v="456"/>
    <n v="3"/>
    <n v="1299.5999999999999"/>
    <n v="322.79000000000002"/>
    <n v="379.64"/>
    <n v="4.5999999999999996"/>
    <n v="5"/>
    <n v="0.05"/>
    <s v="Tarjeta"/>
    <n v="0.29212065250846414"/>
    <s v="Premium"/>
    <s v="Q1"/>
    <n v="5"/>
    <s v="Mejorable"/>
    <n v="12"/>
    <n v="4.5"/>
    <n v="37"/>
    <n v="-0.8888844258665185"/>
    <s v="No"/>
    <s v="No"/>
  </r>
  <r>
    <s v="TXN014"/>
    <x v="9"/>
    <x v="2"/>
    <x v="1"/>
    <x v="1"/>
    <x v="1"/>
    <s v="Pedro González"/>
    <n v="1114"/>
    <n v="2"/>
    <n v="2228"/>
    <n v="722.07"/>
    <n v="783.87"/>
    <n v="4.0999999999999996"/>
    <n v="1"/>
    <n v="0"/>
    <s v="Tarjeta"/>
    <n v="0.35182675044883305"/>
    <s v="Estandar"/>
    <s v="Q1"/>
    <n v="1"/>
    <s v="Excelente"/>
    <n v="32"/>
    <n v="4"/>
    <n v="41"/>
    <n v="-0.2316874261329237"/>
    <s v="No"/>
    <s v="No"/>
  </r>
  <r>
    <s v="TXN015"/>
    <x v="12"/>
    <x v="0"/>
    <x v="2"/>
    <x v="1"/>
    <x v="1"/>
    <s v="Miguel Torres"/>
    <n v="1362"/>
    <n v="2"/>
    <n v="2451.6"/>
    <n v="960.94"/>
    <n v="721.91"/>
    <n v="4.2"/>
    <n v="2"/>
    <n v="0.1"/>
    <s v="Transferencia"/>
    <n v="0.29446483928862782"/>
    <s v="Estandar"/>
    <s v="Q1"/>
    <n v="1"/>
    <s v="Excelente"/>
    <n v="12"/>
    <n v="4.3"/>
    <n v="41"/>
    <n v="-7.3405167256973977E-2"/>
    <s v="No"/>
    <s v="No"/>
  </r>
  <r>
    <s v="TXN016"/>
    <x v="13"/>
    <x v="1"/>
    <x v="2"/>
    <x v="2"/>
    <x v="5"/>
    <s v="Pedro González"/>
    <n v="1048"/>
    <n v="5"/>
    <n v="4454"/>
    <n v="654.16"/>
    <n v="1673.81"/>
    <n v="3.4"/>
    <n v="3"/>
    <n v="0.15"/>
    <s v="Tarjeta"/>
    <n v="0.37579928154467895"/>
    <s v="Riesgo"/>
    <s v="Q1"/>
    <n v="6"/>
    <s v="Buena"/>
    <n v="32"/>
    <n v="4"/>
    <n v="35"/>
    <n v="1.3440563496178106"/>
    <s v="No"/>
    <s v="No"/>
  </r>
  <r>
    <s v="TXN017"/>
    <x v="14"/>
    <x v="1"/>
    <x v="2"/>
    <x v="1"/>
    <x v="1"/>
    <s v="Carlos López"/>
    <n v="860"/>
    <n v="2"/>
    <n v="1720"/>
    <n v="671.73"/>
    <n v="376.54"/>
    <n v="4.7"/>
    <n v="1"/>
    <n v="0"/>
    <s v="Transferencia"/>
    <n v="0.21891860465116281"/>
    <s v="Premium"/>
    <s v="Q1"/>
    <n v="7"/>
    <s v="Excelente"/>
    <n v="10"/>
    <n v="4.4000000000000004"/>
    <n v="41"/>
    <n v="-0.59129112697810482"/>
    <s v="No"/>
    <s v="No"/>
  </r>
  <r>
    <s v="TXN018"/>
    <x v="15"/>
    <x v="2"/>
    <x v="2"/>
    <x v="2"/>
    <x v="7"/>
    <s v="María Rodríguez"/>
    <n v="1184"/>
    <n v="5"/>
    <n v="5032"/>
    <n v="767.94"/>
    <n v="1768.25"/>
    <n v="3.9"/>
    <n v="4"/>
    <n v="0.15"/>
    <s v="Tarjeta"/>
    <n v="0.3514010333863275"/>
    <s v="Riesgo"/>
    <s v="Q1"/>
    <n v="4"/>
    <s v="Buena"/>
    <n v="30"/>
    <n v="4.2"/>
    <n v="38"/>
    <n v="1.7532117415243356"/>
    <s v="No"/>
    <s v="No"/>
  </r>
  <r>
    <s v="TXN019"/>
    <x v="5"/>
    <x v="0"/>
    <x v="2"/>
    <x v="2"/>
    <x v="5"/>
    <s v="Carmen Ruiz"/>
    <n v="1020"/>
    <n v="4"/>
    <n v="4080"/>
    <n v="749.37"/>
    <n v="1082.53"/>
    <n v="5"/>
    <n v="1"/>
    <n v="0"/>
    <s v="Tarjeta"/>
    <n v="0.26532598039215688"/>
    <s v="Premium"/>
    <s v="Q1"/>
    <n v="7"/>
    <s v="Excelente"/>
    <n v="15"/>
    <n v="4.7"/>
    <n v="35"/>
    <n v="1.0793087430900592"/>
    <s v="No"/>
    <s v="No"/>
  </r>
  <r>
    <s v="TXN020"/>
    <x v="16"/>
    <x v="2"/>
    <x v="0"/>
    <x v="1"/>
    <x v="1"/>
    <s v="José Martín"/>
    <n v="1349"/>
    <n v="4"/>
    <n v="5126.2"/>
    <n v="923.22"/>
    <n v="1617.95"/>
    <n v="3.6"/>
    <n v="2"/>
    <n v="0.05"/>
    <s v="Tarjeta"/>
    <n v="0.31562365885061061"/>
    <s v="Riesgo"/>
    <s v="Q1"/>
    <n v="4"/>
    <s v="Excelente"/>
    <n v="12"/>
    <n v="4.5"/>
    <n v="41"/>
    <n v="1.8198941600668868"/>
    <s v="No"/>
    <s v="No"/>
  </r>
  <r>
    <s v="TXN021"/>
    <x v="17"/>
    <x v="0"/>
    <x v="0"/>
    <x v="0"/>
    <x v="6"/>
    <s v="Ana García"/>
    <n v="395"/>
    <n v="2"/>
    <n v="750.5"/>
    <n v="269.11"/>
    <n v="239.2"/>
    <n v="4"/>
    <n v="7"/>
    <n v="0.05"/>
    <s v="Efectivo"/>
    <n v="0.31872085276482343"/>
    <s v="Riesgo"/>
    <s v="Q1"/>
    <n v="2"/>
    <s v="Mejorable"/>
    <n v="37"/>
    <n v="3.6"/>
    <n v="37"/>
    <n v="-1.2775820481777171"/>
    <s v="No"/>
    <s v="No"/>
  </r>
  <r>
    <s v="TXN022"/>
    <x v="18"/>
    <x v="1"/>
    <x v="1"/>
    <x v="1"/>
    <x v="2"/>
    <s v="Laura Sánchez"/>
    <n v="1265"/>
    <n v="3"/>
    <n v="3225.75"/>
    <n v="935.24"/>
    <n v="840.89"/>
    <n v="4.5"/>
    <n v="7"/>
    <n v="0.15"/>
    <s v="Transferencia"/>
    <n v="0.26068046190808336"/>
    <s v="Estandar"/>
    <s v="Q1"/>
    <n v="2"/>
    <s v="Mejorable"/>
    <n v="33"/>
    <n v="4.0999999999999996"/>
    <n v="41"/>
    <n v="0.47460114181644525"/>
    <s v="No"/>
    <s v="No"/>
  </r>
  <r>
    <s v="TXN023"/>
    <x v="19"/>
    <x v="3"/>
    <x v="0"/>
    <x v="1"/>
    <x v="2"/>
    <s v="José Martín"/>
    <n v="859"/>
    <n v="5"/>
    <n v="4295"/>
    <n v="643.9"/>
    <n v="1075.49"/>
    <n v="3.1"/>
    <n v="5"/>
    <n v="0"/>
    <s v="Efectivo"/>
    <n v="0.25040512223515715"/>
    <s v="Riesgo"/>
    <s v="Q1"/>
    <n v="2"/>
    <s v="Mejorable"/>
    <n v="12"/>
    <n v="4.5"/>
    <n v="41"/>
    <n v="1.2315032227784726"/>
    <s v="No"/>
    <s v="No"/>
  </r>
  <r>
    <s v="TXN024"/>
    <x v="20"/>
    <x v="1"/>
    <x v="0"/>
    <x v="0"/>
    <x v="4"/>
    <s v="María Rodríguez"/>
    <n v="370"/>
    <n v="5"/>
    <n v="1850"/>
    <n v="271.97000000000003"/>
    <n v="490.17"/>
    <n v="3.5"/>
    <n v="1"/>
    <n v="0"/>
    <s v="Transferencia"/>
    <n v="0.26495675675675678"/>
    <s v="Riesgo"/>
    <s v="Q1"/>
    <n v="3"/>
    <s v="Excelente"/>
    <n v="30"/>
    <n v="4.2"/>
    <n v="38"/>
    <n v="-0.4992665578641805"/>
    <s v="No"/>
    <s v="No"/>
  </r>
  <r>
    <s v="TXN025"/>
    <x v="21"/>
    <x v="0"/>
    <x v="2"/>
    <x v="1"/>
    <x v="2"/>
    <s v="Pedro González"/>
    <n v="1067"/>
    <n v="2"/>
    <n v="1920.6"/>
    <n v="691.14"/>
    <n v="676.56"/>
    <n v="3.8"/>
    <n v="6"/>
    <n v="0.1"/>
    <s v="Transferencia"/>
    <n v="0.35226491721337083"/>
    <s v="Riesgo"/>
    <s v="Q1"/>
    <n v="5"/>
    <s v="Mejorable"/>
    <n v="32"/>
    <n v="4"/>
    <n v="41"/>
    <n v="-0.44929013802231088"/>
    <s v="No"/>
    <s v="No"/>
  </r>
  <r>
    <s v="TXN026"/>
    <x v="22"/>
    <x v="3"/>
    <x v="1"/>
    <x v="1"/>
    <x v="1"/>
    <s v="Miguel Torres"/>
    <n v="1376"/>
    <n v="1"/>
    <n v="1376"/>
    <n v="973.56"/>
    <n v="402.44"/>
    <n v="4"/>
    <n v="2"/>
    <n v="0"/>
    <s v="Efectivo"/>
    <n v="0.29247093023255816"/>
    <s v="Riesgo"/>
    <s v="Q1"/>
    <n v="5"/>
    <s v="Excelente"/>
    <n v="12"/>
    <n v="4.3"/>
    <n v="41"/>
    <n v="-0.834802294479566"/>
    <s v="No"/>
    <s v="No"/>
  </r>
  <r>
    <s v="TXN027"/>
    <x v="23"/>
    <x v="1"/>
    <x v="1"/>
    <x v="2"/>
    <x v="7"/>
    <s v="Miguel Torres"/>
    <n v="1156"/>
    <n v="3"/>
    <n v="3468"/>
    <n v="848.01"/>
    <n v="923.97"/>
    <n v="4.0999999999999996"/>
    <n v="6"/>
    <n v="0"/>
    <s v="Tarjeta"/>
    <n v="0.26642733564013843"/>
    <s v="Estandar"/>
    <s v="Q1"/>
    <n v="3"/>
    <s v="Mejorable"/>
    <n v="12"/>
    <n v="4.3"/>
    <n v="38"/>
    <n v="0.64608538695373874"/>
    <s v="No"/>
    <s v="No"/>
  </r>
  <r>
    <s v="TXN028"/>
    <x v="24"/>
    <x v="2"/>
    <x v="0"/>
    <x v="1"/>
    <x v="8"/>
    <s v="María Rodríguez"/>
    <n v="1078"/>
    <n v="3"/>
    <n v="3072.3"/>
    <n v="801.52"/>
    <n v="787.98"/>
    <n v="3.4"/>
    <n v="6"/>
    <n v="0.05"/>
    <s v="Efectivo"/>
    <n v="0.25647885948637827"/>
    <s v="Riesgo"/>
    <s v="Q1"/>
    <n v="5"/>
    <s v="Mejorable"/>
    <n v="30"/>
    <n v="4.2"/>
    <n v="29"/>
    <n v="0.3659767561969709"/>
    <s v="No"/>
    <s v="No"/>
  </r>
  <r>
    <s v="TXN029"/>
    <x v="20"/>
    <x v="3"/>
    <x v="1"/>
    <x v="1"/>
    <x v="1"/>
    <s v="Carmen Ruiz"/>
    <n v="1083"/>
    <n v="1"/>
    <n v="1083"/>
    <n v="722.05"/>
    <n v="360.95"/>
    <n v="3.3"/>
    <n v="3"/>
    <n v="0"/>
    <s v="Tarjeta"/>
    <n v="0.33328716528162511"/>
    <s v="Riesgo"/>
    <s v="Q1"/>
    <n v="3"/>
    <s v="Buena"/>
    <n v="15"/>
    <n v="4.7"/>
    <n v="41"/>
    <n v="-1.0422115156363339"/>
    <s v="No"/>
    <s v="No"/>
  </r>
  <r>
    <s v="TXN030"/>
    <x v="17"/>
    <x v="3"/>
    <x v="2"/>
    <x v="1"/>
    <x v="1"/>
    <s v="Carlos López"/>
    <n v="952"/>
    <n v="5"/>
    <n v="4760"/>
    <n v="730.11"/>
    <n v="1109.47"/>
    <n v="4.2"/>
    <n v="2"/>
    <n v="0"/>
    <s v="Efectivo"/>
    <n v="0.23308193277310926"/>
    <s v="Estandar"/>
    <s v="Q1"/>
    <n v="2"/>
    <s v="Excelente"/>
    <n v="10"/>
    <n v="4.4000000000000004"/>
    <n v="41"/>
    <n v="1.560668027685971"/>
    <s v="No"/>
    <s v="No"/>
  </r>
  <r>
    <s v="TXN031"/>
    <x v="25"/>
    <x v="0"/>
    <x v="1"/>
    <x v="2"/>
    <x v="7"/>
    <s v="Pedro González"/>
    <n v="815"/>
    <n v="2"/>
    <n v="1630"/>
    <n v="546.65"/>
    <n v="536.70000000000005"/>
    <n v="4.0999999999999996"/>
    <n v="7"/>
    <n v="0"/>
    <s v="Efectivo"/>
    <n v="0.32926380368098163"/>
    <s v="Estandar"/>
    <s v="Q1"/>
    <n v="4"/>
    <s v="Mejorable"/>
    <n v="32"/>
    <n v="4"/>
    <n v="38"/>
    <n v="-0.65500044405697544"/>
    <s v="No"/>
    <s v="No"/>
  </r>
  <r>
    <s v="TXN032"/>
    <x v="26"/>
    <x v="1"/>
    <x v="0"/>
    <x v="1"/>
    <x v="1"/>
    <s v="Carmen Ruiz"/>
    <n v="825"/>
    <n v="2"/>
    <n v="1485"/>
    <n v="624.09"/>
    <n v="361.63"/>
    <n v="3.8"/>
    <n v="6"/>
    <n v="0.1"/>
    <s v="Transferencia"/>
    <n v="0.24352188552188553"/>
    <s v="Riesgo"/>
    <s v="Q1"/>
    <n v="4"/>
    <s v="Mejorable"/>
    <n v="15"/>
    <n v="4.7"/>
    <n v="41"/>
    <n v="-0.75764323268404488"/>
    <s v="No"/>
    <s v="No"/>
  </r>
  <r>
    <s v="TXN033"/>
    <x v="21"/>
    <x v="2"/>
    <x v="0"/>
    <x v="0"/>
    <x v="4"/>
    <s v="Carmen Ruiz"/>
    <n v="339"/>
    <n v="4"/>
    <n v="1288.2"/>
    <n v="216.93"/>
    <n v="463.86"/>
    <n v="4.8"/>
    <n v="3"/>
    <n v="0.05"/>
    <s v="Efectivo"/>
    <n v="0.36008383791336751"/>
    <s v="Premium"/>
    <s v="Q1"/>
    <n v="5"/>
    <s v="Buena"/>
    <n v="15"/>
    <n v="4.7"/>
    <n v="38"/>
    <n v="-0.89695427269650863"/>
    <s v="No"/>
    <s v="No"/>
  </r>
  <r>
    <s v="TXN034"/>
    <x v="27"/>
    <x v="1"/>
    <x v="0"/>
    <x v="0"/>
    <x v="4"/>
    <s v="Carmen Ruiz"/>
    <n v="636"/>
    <n v="3"/>
    <n v="1908"/>
    <n v="504.59"/>
    <n v="394.24"/>
    <n v="3.6"/>
    <n v="6"/>
    <n v="0"/>
    <s v="Transferencia"/>
    <n v="0.20662473794549266"/>
    <s v="Riesgo"/>
    <s v="Q1"/>
    <n v="3"/>
    <s v="Mejorable"/>
    <n v="15"/>
    <n v="4.7"/>
    <n v="38"/>
    <n v="-0.45820944241335271"/>
    <s v="No"/>
    <s v="No"/>
  </r>
  <r>
    <s v="TXN035"/>
    <x v="16"/>
    <x v="2"/>
    <x v="0"/>
    <x v="1"/>
    <x v="2"/>
    <s v="María Rodríguez"/>
    <n v="1394"/>
    <n v="3"/>
    <n v="4182"/>
    <n v="866.62"/>
    <n v="1582.13"/>
    <n v="3.9"/>
    <n v="6"/>
    <n v="0"/>
    <s v="Efectivo"/>
    <n v="0.37831898613103782"/>
    <s v="Riesgo"/>
    <s v="Q1"/>
    <n v="4"/>
    <s v="Mejorable"/>
    <n v="30"/>
    <n v="4.2"/>
    <n v="41"/>
    <n v="1.1515126357794461"/>
    <s v="No"/>
    <s v="No"/>
  </r>
  <r>
    <s v="TXN036"/>
    <x v="28"/>
    <x v="0"/>
    <x v="1"/>
    <x v="0"/>
    <x v="4"/>
    <s v="Laura Sánchez"/>
    <n v="345"/>
    <n v="4"/>
    <n v="1380"/>
    <n v="242.87"/>
    <n v="408.5"/>
    <n v="4.5999999999999996"/>
    <n v="6"/>
    <n v="0"/>
    <s v="Transferencia"/>
    <n v="0.29601449275362318"/>
    <s v="Premium"/>
    <s v="Q1"/>
    <n v="1"/>
    <s v="Mejorable"/>
    <n v="33"/>
    <n v="4.0999999999999996"/>
    <n v="38"/>
    <n v="-0.83197076927606062"/>
    <s v="No"/>
    <s v="No"/>
  </r>
  <r>
    <s v="TXN037"/>
    <x v="29"/>
    <x v="1"/>
    <x v="1"/>
    <x v="2"/>
    <x v="7"/>
    <s v="Pedro González"/>
    <n v="921"/>
    <n v="1"/>
    <n v="828.9"/>
    <n v="646.01"/>
    <n v="247.49"/>
    <n v="4.3"/>
    <n v="3"/>
    <n v="0.1"/>
    <s v="Efectivo"/>
    <n v="0.29857642658945593"/>
    <s v="Estandar"/>
    <s v="Q1"/>
    <n v="3"/>
    <s v="Buena"/>
    <n v="32"/>
    <n v="4"/>
    <n v="38"/>
    <n v="-1.222084154189012"/>
    <s v="No"/>
    <s v="No"/>
  </r>
  <r>
    <s v="TXN038"/>
    <x v="30"/>
    <x v="2"/>
    <x v="2"/>
    <x v="1"/>
    <x v="1"/>
    <s v="Carmen Ruiz"/>
    <n v="1188"/>
    <n v="2"/>
    <n v="2138.4"/>
    <n v="809.28"/>
    <n v="681.69"/>
    <n v="4.7"/>
    <n v="3"/>
    <n v="0.1"/>
    <s v="Efectivo"/>
    <n v="0.31878507295173963"/>
    <s v="Premium"/>
    <s v="Q1"/>
    <n v="7"/>
    <s v="Buena"/>
    <n v="15"/>
    <n v="4.7"/>
    <n v="41"/>
    <n v="-0.29511359069144377"/>
    <s v="No"/>
    <s v="No"/>
  </r>
  <r>
    <s v="TXN039"/>
    <x v="31"/>
    <x v="3"/>
    <x v="2"/>
    <x v="0"/>
    <x v="6"/>
    <s v="Pedro González"/>
    <n v="776"/>
    <n v="4"/>
    <n v="2638.4"/>
    <n v="570.46"/>
    <n v="698.85"/>
    <n v="4"/>
    <n v="7"/>
    <n v="0.15"/>
    <s v="Transferencia"/>
    <n v="0.26487644026682838"/>
    <s v="Riesgo"/>
    <s v="Q1"/>
    <n v="7"/>
    <s v="Mejorable"/>
    <n v="32"/>
    <n v="4"/>
    <n v="37"/>
    <n v="5.8827059746726584E-2"/>
    <s v="No"/>
    <s v="No"/>
  </r>
  <r>
    <s v="TXN040"/>
    <x v="32"/>
    <x v="0"/>
    <x v="1"/>
    <x v="0"/>
    <x v="6"/>
    <s v="Pedro González"/>
    <n v="395"/>
    <n v="2"/>
    <n v="711"/>
    <n v="254.75"/>
    <n v="252.46"/>
    <n v="3.4"/>
    <n v="1"/>
    <n v="0.1"/>
    <s v="Tarjeta"/>
    <n v="0.35507735583684952"/>
    <s v="Riesgo"/>
    <s v="Q1"/>
    <n v="2"/>
    <s v="Excelente"/>
    <n v="32"/>
    <n v="4"/>
    <n v="37"/>
    <n v="-1.3055433595623325"/>
    <s v="No"/>
    <s v="No"/>
  </r>
  <r>
    <s v="TXN041"/>
    <x v="21"/>
    <x v="3"/>
    <x v="2"/>
    <x v="1"/>
    <x v="2"/>
    <s v="Carmen Ruiz"/>
    <n v="1389"/>
    <n v="2"/>
    <n v="2361.3000000000002"/>
    <n v="970.74"/>
    <n v="711.05"/>
    <n v="3.5"/>
    <n v="6"/>
    <n v="0.15"/>
    <s v="Transferencia"/>
    <n v="0.30112649811544484"/>
    <s v="Riesgo"/>
    <s v="Q1"/>
    <n v="5"/>
    <s v="Mejorable"/>
    <n v="15"/>
    <n v="4.7"/>
    <n v="41"/>
    <n v="-0.13732684872610734"/>
    <s v="No"/>
    <s v="No"/>
  </r>
  <r>
    <s v="TXN042"/>
    <x v="33"/>
    <x v="0"/>
    <x v="1"/>
    <x v="1"/>
    <x v="1"/>
    <s v="Miguel Torres"/>
    <n v="851"/>
    <n v="5"/>
    <n v="4042.25"/>
    <n v="666.75"/>
    <n v="875.17"/>
    <n v="3.2"/>
    <n v="2"/>
    <n v="0.05"/>
    <s v="Efectivo"/>
    <n v="0.21650565897705484"/>
    <s v="Riesgo"/>
    <s v="Q1"/>
    <n v="2"/>
    <s v="Excelente"/>
    <n v="12"/>
    <n v="4.3"/>
    <n v="41"/>
    <n v="1.0525862239819774"/>
    <s v="No"/>
    <s v="No"/>
  </r>
  <r>
    <s v="TXN043"/>
    <x v="29"/>
    <x v="2"/>
    <x v="1"/>
    <x v="0"/>
    <x v="6"/>
    <s v="Carmen Ruiz"/>
    <n v="861"/>
    <n v="4"/>
    <n v="3271.8"/>
    <n v="644.66"/>
    <n v="822.1"/>
    <n v="3.9"/>
    <n v="3"/>
    <n v="0.05"/>
    <s v="Tarjeta"/>
    <n v="0.25126841493978846"/>
    <s v="Riesgo"/>
    <s v="Q1"/>
    <n v="3"/>
    <s v="Buena"/>
    <n v="15"/>
    <n v="4.7"/>
    <n v="37"/>
    <n v="0.5071990757218009"/>
    <s v="No"/>
    <s v="No"/>
  </r>
  <r>
    <s v="TXN044"/>
    <x v="0"/>
    <x v="2"/>
    <x v="2"/>
    <x v="2"/>
    <x v="3"/>
    <s v="José Martín"/>
    <n v="881"/>
    <n v="4"/>
    <n v="3524"/>
    <n v="654.33000000000004"/>
    <n v="906.69"/>
    <n v="3.5"/>
    <n v="3"/>
    <n v="0"/>
    <s v="Efectivo"/>
    <n v="0.25729001135073781"/>
    <s v="Riesgo"/>
    <s v="Q1"/>
    <n v="6"/>
    <s v="Buena"/>
    <n v="12"/>
    <n v="4.5"/>
    <n v="37"/>
    <n v="0.68572673980281384"/>
    <s v="No"/>
    <s v="No"/>
  </r>
  <r>
    <s v="TXN045"/>
    <x v="34"/>
    <x v="0"/>
    <x v="0"/>
    <x v="1"/>
    <x v="1"/>
    <s v="Carmen Ruiz"/>
    <n v="956"/>
    <n v="2"/>
    <n v="1912"/>
    <n v="652.91999999999996"/>
    <n v="606.15"/>
    <n v="3.7"/>
    <n v="4"/>
    <n v="0"/>
    <s v="Efectivo"/>
    <n v="0.31702405857740584"/>
    <s v="Riesgo"/>
    <s v="Q1"/>
    <n v="1"/>
    <s v="Buena"/>
    <n v="15"/>
    <n v="4.7"/>
    <n v="41"/>
    <n v="-0.45537791720984738"/>
    <s v="No"/>
    <s v="No"/>
  </r>
  <r>
    <s v="TXN046"/>
    <x v="18"/>
    <x v="1"/>
    <x v="1"/>
    <x v="2"/>
    <x v="3"/>
    <s v="Ana García"/>
    <n v="1189"/>
    <n v="4"/>
    <n v="4042.6"/>
    <n v="714.8"/>
    <n v="1612.27"/>
    <n v="3.7"/>
    <n v="7"/>
    <n v="0.15"/>
    <s v="Efectivo"/>
    <n v="0.39882006629396921"/>
    <s v="Riesgo"/>
    <s v="Q1"/>
    <n v="2"/>
    <s v="Mejorable"/>
    <n v="37"/>
    <n v="3.6"/>
    <n v="37"/>
    <n v="1.0528339824372841"/>
    <s v="No"/>
    <s v="No"/>
  </r>
  <r>
    <s v="TXN047"/>
    <x v="2"/>
    <x v="1"/>
    <x v="1"/>
    <x v="1"/>
    <x v="2"/>
    <s v="Carmen Ruiz"/>
    <n v="1297"/>
    <n v="1"/>
    <n v="1102.45"/>
    <n v="865.39"/>
    <n v="366.87"/>
    <n v="4.4000000000000004"/>
    <n v="4"/>
    <n v="0.15"/>
    <s v="Transferencia"/>
    <n v="0.33277699668919225"/>
    <s v="Estandar"/>
    <s v="Q1"/>
    <n v="6"/>
    <s v="Buena"/>
    <n v="15"/>
    <n v="4.7"/>
    <n v="41"/>
    <n v="-1.0284432243342889"/>
    <s v="No"/>
    <s v="No"/>
  </r>
  <r>
    <s v="TXN048"/>
    <x v="32"/>
    <x v="3"/>
    <x v="0"/>
    <x v="0"/>
    <x v="6"/>
    <s v="Ana García"/>
    <n v="703"/>
    <n v="5"/>
    <n v="3515"/>
    <n v="433.6"/>
    <n v="1346.98"/>
    <n v="3.9"/>
    <n v="7"/>
    <n v="0"/>
    <s v="Efectivo"/>
    <n v="0.3832091038406828"/>
    <s v="Riesgo"/>
    <s v="Q1"/>
    <n v="2"/>
    <s v="Mejorable"/>
    <n v="37"/>
    <n v="3.6"/>
    <n v="37"/>
    <n v="0.67935580809492679"/>
    <s v="No"/>
    <s v="No"/>
  </r>
  <r>
    <s v="TXN049"/>
    <x v="35"/>
    <x v="0"/>
    <x v="1"/>
    <x v="2"/>
    <x v="5"/>
    <s v="José Martín"/>
    <n v="1065"/>
    <n v="3"/>
    <n v="2875.5"/>
    <n v="801.14"/>
    <n v="712.42"/>
    <n v="3.8"/>
    <n v="7"/>
    <n v="0.1"/>
    <s v="Efectivo"/>
    <n v="0.24775517301338895"/>
    <s v="Riesgo"/>
    <s v="Q1"/>
    <n v="4"/>
    <s v="Mejorable"/>
    <n v="12"/>
    <n v="4.5"/>
    <n v="35"/>
    <n v="0.2266657161845069"/>
    <s v="No"/>
    <s v="No"/>
  </r>
  <r>
    <s v="TXN050"/>
    <x v="36"/>
    <x v="0"/>
    <x v="1"/>
    <x v="1"/>
    <x v="8"/>
    <s v="Ana García"/>
    <n v="1158"/>
    <n v="2"/>
    <n v="2316"/>
    <n v="875.73"/>
    <n v="564.53"/>
    <n v="4.3"/>
    <n v="7"/>
    <n v="0"/>
    <s v="Tarjeta"/>
    <n v="0.24375215889464594"/>
    <s v="Estandar"/>
    <s v="Q1"/>
    <n v="6"/>
    <s v="Mejorable"/>
    <n v="37"/>
    <n v="3.6"/>
    <n v="29"/>
    <n v="-0.16939387165580572"/>
    <s v="No"/>
    <s v="No"/>
  </r>
  <r>
    <s v="TXN051"/>
    <x v="21"/>
    <x v="1"/>
    <x v="0"/>
    <x v="0"/>
    <x v="4"/>
    <s v="José Martín"/>
    <n v="429"/>
    <n v="4"/>
    <n v="1716"/>
    <n v="305.79000000000002"/>
    <n v="492.85"/>
    <n v="3.4"/>
    <n v="6"/>
    <n v="0"/>
    <s v="Efectivo"/>
    <n v="0.28720862470862474"/>
    <s v="Riesgo"/>
    <s v="Q1"/>
    <n v="5"/>
    <s v="Mejorable"/>
    <n v="12"/>
    <n v="4.5"/>
    <n v="38"/>
    <n v="-0.59412265218161009"/>
    <s v="No"/>
    <s v="No"/>
  </r>
  <r>
    <s v="TXN052"/>
    <x v="37"/>
    <x v="1"/>
    <x v="2"/>
    <x v="0"/>
    <x v="6"/>
    <s v="Carlos López"/>
    <n v="467"/>
    <n v="3"/>
    <n v="1401"/>
    <n v="334.25"/>
    <n v="398.25"/>
    <n v="4.9000000000000004"/>
    <n v="5"/>
    <n v="0"/>
    <s v="Transferencia"/>
    <n v="0.28426124197002139"/>
    <s v="Premium"/>
    <s v="Q1"/>
    <n v="7"/>
    <s v="Mejorable"/>
    <n v="10"/>
    <n v="4.4000000000000004"/>
    <n v="37"/>
    <n v="-0.81710526195765742"/>
    <s v="No"/>
    <s v="No"/>
  </r>
  <r>
    <s v="TXN053"/>
    <x v="38"/>
    <x v="3"/>
    <x v="2"/>
    <x v="1"/>
    <x v="1"/>
    <s v="José Martín"/>
    <n v="904"/>
    <n v="3"/>
    <n v="2712"/>
    <n v="686.36"/>
    <n v="652.92999999999995"/>
    <n v="4.0999999999999996"/>
    <n v="1"/>
    <n v="0"/>
    <s v="Efectivo"/>
    <n v="0.24075589970501474"/>
    <s v="Estandar"/>
    <s v="Q1"/>
    <n v="1"/>
    <s v="Excelente"/>
    <n v="12"/>
    <n v="4.5"/>
    <n v="41"/>
    <n v="0.1109271234912252"/>
    <s v="No"/>
    <s v="No"/>
  </r>
  <r>
    <s v="TXN054"/>
    <x v="39"/>
    <x v="3"/>
    <x v="2"/>
    <x v="2"/>
    <x v="7"/>
    <s v="Pedro González"/>
    <n v="612"/>
    <n v="4"/>
    <n v="2080.8000000000002"/>
    <n v="380.12"/>
    <n v="788.4"/>
    <n v="4.9000000000000004"/>
    <n v="6"/>
    <n v="0.15"/>
    <s v="Efectivo"/>
    <n v="0.37889273356401382"/>
    <s v="Premium"/>
    <s v="Q1"/>
    <n v="7"/>
    <s v="Mejorable"/>
    <n v="32"/>
    <n v="4"/>
    <n v="38"/>
    <n v="-0.33588755362192091"/>
    <s v="No"/>
    <s v="No"/>
  </r>
  <r>
    <s v="TXN055"/>
    <x v="40"/>
    <x v="3"/>
    <x v="0"/>
    <x v="0"/>
    <x v="6"/>
    <s v="Laura Sánchez"/>
    <n v="851"/>
    <n v="4"/>
    <n v="2893.4"/>
    <n v="584.73"/>
    <n v="905.3"/>
    <n v="4.5"/>
    <n v="3"/>
    <n v="0.15"/>
    <s v="Efectivo"/>
    <n v="0.31288449574894583"/>
    <s v="Estandar"/>
    <s v="Q1"/>
    <n v="7"/>
    <s v="Buena"/>
    <n v="33"/>
    <n v="4.0999999999999996"/>
    <n v="37"/>
    <n v="0.23933679147019346"/>
    <s v="No"/>
    <s v="No"/>
  </r>
  <r>
    <s v="TXN056"/>
    <x v="21"/>
    <x v="0"/>
    <x v="1"/>
    <x v="2"/>
    <x v="7"/>
    <s v="Miguel Torres"/>
    <n v="1183"/>
    <n v="5"/>
    <n v="5027.75"/>
    <n v="789.39"/>
    <n v="1672.84"/>
    <n v="4"/>
    <n v="3"/>
    <n v="0.15"/>
    <s v="Tarjeta"/>
    <n v="0.33272139625080799"/>
    <s v="Riesgo"/>
    <s v="Q1"/>
    <n v="5"/>
    <s v="Buena"/>
    <n v="12"/>
    <n v="4.3"/>
    <n v="38"/>
    <n v="1.7502032459956112"/>
    <s v="No"/>
    <s v="No"/>
  </r>
  <r>
    <s v="TXN057"/>
    <x v="12"/>
    <x v="1"/>
    <x v="1"/>
    <x v="2"/>
    <x v="5"/>
    <s v="Laura Sánchez"/>
    <n v="882"/>
    <n v="5"/>
    <n v="4410"/>
    <n v="620.33000000000004"/>
    <n v="1308.33"/>
    <n v="3.4"/>
    <n v="2"/>
    <n v="0"/>
    <s v="Transferencia"/>
    <n v="0.29667346938775507"/>
    <s v="Riesgo"/>
    <s v="Q1"/>
    <n v="1"/>
    <s v="Excelente"/>
    <n v="33"/>
    <n v="4.0999999999999996"/>
    <n v="35"/>
    <n v="1.3129095723792517"/>
    <s v="No"/>
    <s v="No"/>
  </r>
  <r>
    <s v="TXN058"/>
    <x v="41"/>
    <x v="3"/>
    <x v="2"/>
    <x v="1"/>
    <x v="8"/>
    <s v="Miguel Torres"/>
    <n v="1302"/>
    <n v="4"/>
    <n v="5208"/>
    <n v="805.43"/>
    <n v="1986.28"/>
    <n v="3.4"/>
    <n v="6"/>
    <n v="0"/>
    <s v="Tarjeta"/>
    <n v="0.38139016897081413"/>
    <s v="Riesgo"/>
    <s v="Q1"/>
    <n v="5"/>
    <s v="Mejorable"/>
    <n v="12"/>
    <n v="4.3"/>
    <n v="29"/>
    <n v="1.8777988504785716"/>
    <s v="No"/>
    <s v="No"/>
  </r>
  <r>
    <s v="TXN059"/>
    <x v="42"/>
    <x v="2"/>
    <x v="1"/>
    <x v="0"/>
    <x v="6"/>
    <s v="Pedro González"/>
    <n v="735"/>
    <n v="5"/>
    <n v="3307.5"/>
    <n v="492.72"/>
    <n v="1090.28"/>
    <n v="3.9"/>
    <n v="3"/>
    <n v="0.1"/>
    <s v="Efectivo"/>
    <n v="0.32963869992441419"/>
    <s v="Riesgo"/>
    <s v="Q1"/>
    <n v="6"/>
    <s v="Buena"/>
    <n v="32"/>
    <n v="4"/>
    <n v="37"/>
    <n v="0.53247043816308604"/>
    <s v="No"/>
    <s v="No"/>
  </r>
  <r>
    <s v="TXN060"/>
    <x v="27"/>
    <x v="0"/>
    <x v="2"/>
    <x v="1"/>
    <x v="2"/>
    <s v="Carlos López"/>
    <n v="1348"/>
    <n v="2"/>
    <n v="2561.1999999999998"/>
    <n v="867.14"/>
    <n v="913.64"/>
    <n v="4"/>
    <n v="6"/>
    <n v="0.05"/>
    <s v="Transferencia"/>
    <n v="0.35672341090114013"/>
    <s v="Riesgo"/>
    <s v="Q1"/>
    <n v="3"/>
    <s v="Mejorable"/>
    <n v="10"/>
    <n v="4.4000000000000004"/>
    <n v="41"/>
    <n v="4.1786233190728925E-3"/>
    <s v="No"/>
    <s v="No"/>
  </r>
  <r>
    <s v="TXN061"/>
    <x v="43"/>
    <x v="2"/>
    <x v="0"/>
    <x v="1"/>
    <x v="2"/>
    <s v="José Martín"/>
    <n v="1169"/>
    <n v="2"/>
    <n v="2104.1999999999998"/>
    <n v="704.71"/>
    <n v="835.73"/>
    <n v="4.0999999999999996"/>
    <n v="3"/>
    <n v="0.1"/>
    <s v="Tarjeta"/>
    <n v="0.39717232202262148"/>
    <s v="Estandar"/>
    <s v="Q1"/>
    <n v="6"/>
    <s v="Buena"/>
    <n v="12"/>
    <n v="4.5"/>
    <n v="41"/>
    <n v="-0.31932313118141481"/>
    <s v="No"/>
    <s v="No"/>
  </r>
  <r>
    <s v="TXN062"/>
    <x v="44"/>
    <x v="2"/>
    <x v="2"/>
    <x v="1"/>
    <x v="8"/>
    <s v="Miguel Torres"/>
    <n v="905"/>
    <n v="1"/>
    <n v="814.5"/>
    <n v="627.96"/>
    <n v="249.34"/>
    <n v="3.9"/>
    <n v="2"/>
    <n v="0.1"/>
    <s v="Tarjeta"/>
    <n v="0.30612645794966237"/>
    <s v="Riesgo"/>
    <s v="Q1"/>
    <n v="1"/>
    <s v="Excelente"/>
    <n v="12"/>
    <n v="4.3"/>
    <n v="29"/>
    <n v="-1.2322776449216313"/>
    <s v="No"/>
    <s v="No"/>
  </r>
  <r>
    <s v="TXN063"/>
    <x v="36"/>
    <x v="3"/>
    <x v="0"/>
    <x v="1"/>
    <x v="2"/>
    <s v="Miguel Torres"/>
    <n v="875"/>
    <n v="5"/>
    <n v="4375"/>
    <n v="551.54999999999995"/>
    <n v="1617.24"/>
    <n v="4.5999999999999996"/>
    <n v="3"/>
    <n v="0"/>
    <s v="Tarjeta"/>
    <n v="0.36965485714285712"/>
    <s v="Premium"/>
    <s v="Q1"/>
    <n v="6"/>
    <s v="Buena"/>
    <n v="12"/>
    <n v="4.3"/>
    <n v="41"/>
    <n v="1.2881337268485797"/>
    <s v="No"/>
    <s v="No"/>
  </r>
  <r>
    <s v="TXN064"/>
    <x v="21"/>
    <x v="0"/>
    <x v="2"/>
    <x v="2"/>
    <x v="3"/>
    <s v="José Martín"/>
    <n v="1135"/>
    <n v="4"/>
    <n v="3859"/>
    <n v="887.23"/>
    <n v="842.42"/>
    <n v="3.6"/>
    <n v="5"/>
    <n v="0.15"/>
    <s v="Efectivo"/>
    <n v="0.21830007774034724"/>
    <s v="Riesgo"/>
    <s v="Q1"/>
    <n v="5"/>
    <s v="Mejorable"/>
    <n v="12"/>
    <n v="4.5"/>
    <n v="37"/>
    <n v="0.92286697559638797"/>
    <s v="No"/>
    <s v="No"/>
  </r>
  <r>
    <s v="TXN065"/>
    <x v="42"/>
    <x v="0"/>
    <x v="2"/>
    <x v="0"/>
    <x v="4"/>
    <s v="José Martín"/>
    <n v="516"/>
    <n v="3"/>
    <n v="1548"/>
    <n v="325.81"/>
    <n v="570.58000000000004"/>
    <n v="3.3"/>
    <n v="1"/>
    <n v="0"/>
    <s v="Tarjeta"/>
    <n v="0.36859173126614991"/>
    <s v="Riesgo"/>
    <s v="Q1"/>
    <n v="6"/>
    <s v="Excelente"/>
    <n v="12"/>
    <n v="4.5"/>
    <n v="38"/>
    <n v="-0.71304671072883541"/>
    <s v="No"/>
    <s v="No"/>
  </r>
  <r>
    <s v="TXN066"/>
    <x v="33"/>
    <x v="3"/>
    <x v="1"/>
    <x v="0"/>
    <x v="6"/>
    <s v="Miguel Torres"/>
    <n v="598"/>
    <n v="1"/>
    <n v="568.1"/>
    <n v="393.26"/>
    <n v="194.51"/>
    <n v="3.6"/>
    <n v="7"/>
    <n v="0.05"/>
    <s v="Efectivo"/>
    <n v="0.34238690371413483"/>
    <s v="Riesgo"/>
    <s v="Q1"/>
    <n v="2"/>
    <s v="Mejorable"/>
    <n v="12"/>
    <n v="4.3"/>
    <n v="37"/>
    <n v="-1.4066995974575618"/>
    <s v="No"/>
    <s v="No"/>
  </r>
  <r>
    <s v="TXN067"/>
    <x v="6"/>
    <x v="1"/>
    <x v="1"/>
    <x v="0"/>
    <x v="6"/>
    <s v="José Martín"/>
    <n v="735"/>
    <n v="1"/>
    <n v="698.25"/>
    <n v="536.20000000000005"/>
    <n v="188.86"/>
    <n v="4.8"/>
    <n v="7"/>
    <n v="0.05"/>
    <s v="Tarjeta"/>
    <n v="0.27047619047619048"/>
    <s v="Premium"/>
    <s v="Q1"/>
    <n v="4"/>
    <s v="Mejorable"/>
    <n v="12"/>
    <n v="4.5"/>
    <n v="37"/>
    <n v="-1.3145688461485059"/>
    <s v="No"/>
    <s v="No"/>
  </r>
  <r>
    <s v="TXN068"/>
    <x v="6"/>
    <x v="0"/>
    <x v="0"/>
    <x v="2"/>
    <x v="3"/>
    <s v="Laura Sánchez"/>
    <n v="1049"/>
    <n v="1"/>
    <n v="891.65"/>
    <n v="773.88"/>
    <n v="233.85"/>
    <n v="4.4000000000000004"/>
    <n v="3"/>
    <n v="0.15"/>
    <s v="Transferencia"/>
    <n v="0.26226658442213874"/>
    <s v="Estandar"/>
    <s v="Q1"/>
    <n v="4"/>
    <s v="Buena"/>
    <n v="33"/>
    <n v="4.0999999999999996"/>
    <n v="37"/>
    <n v="-1.1776646025590216"/>
    <s v="No"/>
    <s v="No"/>
  </r>
  <r>
    <s v="TXN069"/>
    <x v="34"/>
    <x v="3"/>
    <x v="1"/>
    <x v="1"/>
    <x v="8"/>
    <s v="Ana García"/>
    <n v="1242"/>
    <n v="3"/>
    <n v="3353.4"/>
    <n v="751.62"/>
    <n v="1324.01"/>
    <n v="3.5"/>
    <n v="6"/>
    <n v="0.1"/>
    <s v="Transferencia"/>
    <n v="0.39482614659748316"/>
    <s v="Riesgo"/>
    <s v="Q1"/>
    <n v="1"/>
    <s v="Mejorable"/>
    <n v="37"/>
    <n v="3.6"/>
    <n v="29"/>
    <n v="0.56496218987331015"/>
    <s v="No"/>
    <s v="No"/>
  </r>
  <r>
    <s v="TXN070"/>
    <x v="14"/>
    <x v="0"/>
    <x v="2"/>
    <x v="2"/>
    <x v="3"/>
    <s v="Ana García"/>
    <n v="779"/>
    <n v="4"/>
    <n v="2648.6"/>
    <n v="610.12"/>
    <n v="574.17999999999995"/>
    <n v="3.4"/>
    <n v="5"/>
    <n v="0.15"/>
    <s v="Efectivo"/>
    <n v="0.21678622668579625"/>
    <s v="Riesgo"/>
    <s v="Q1"/>
    <n v="7"/>
    <s v="Mejorable"/>
    <n v="37"/>
    <n v="3.6"/>
    <n v="37"/>
    <n v="6.604744901566513E-2"/>
    <s v="No"/>
    <s v="No"/>
  </r>
  <r>
    <s v="TXN071"/>
    <x v="0"/>
    <x v="3"/>
    <x v="0"/>
    <x v="2"/>
    <x v="5"/>
    <s v="Carmen Ruiz"/>
    <n v="941"/>
    <n v="3"/>
    <n v="2823"/>
    <n v="726.03"/>
    <n v="644.91999999999996"/>
    <n v="3.7"/>
    <n v="6"/>
    <n v="0"/>
    <s v="Efectivo"/>
    <n v="0.22845200141693234"/>
    <s v="Riesgo"/>
    <s v="Q1"/>
    <n v="6"/>
    <s v="Mejorable"/>
    <n v="15"/>
    <n v="4.7"/>
    <n v="35"/>
    <n v="0.18950194788849903"/>
    <s v="No"/>
    <s v="No"/>
  </r>
  <r>
    <s v="TXN072"/>
    <x v="45"/>
    <x v="3"/>
    <x v="2"/>
    <x v="1"/>
    <x v="2"/>
    <s v="Carlos López"/>
    <n v="1122"/>
    <n v="3"/>
    <n v="3029.4"/>
    <n v="699.21"/>
    <n v="1141.53"/>
    <n v="4.5"/>
    <n v="7"/>
    <n v="0.1"/>
    <s v="Transferencia"/>
    <n v="0.37681719152307386"/>
    <s v="Estandar"/>
    <s v="Q1"/>
    <n v="3"/>
    <s v="Mejorable"/>
    <n v="10"/>
    <n v="4.4000000000000004"/>
    <n v="41"/>
    <n v="0.33560864838937582"/>
    <s v="No"/>
    <s v="No"/>
  </r>
  <r>
    <s v="TXN073"/>
    <x v="33"/>
    <x v="3"/>
    <x v="1"/>
    <x v="1"/>
    <x v="1"/>
    <s v="Pedro González"/>
    <n v="1310"/>
    <n v="4"/>
    <n v="5240"/>
    <n v="839.33"/>
    <n v="1882.67"/>
    <n v="4.0999999999999996"/>
    <n v="3"/>
    <n v="0"/>
    <s v="Efectivo"/>
    <n v="0.35928816793893131"/>
    <s v="Estandar"/>
    <s v="Q1"/>
    <n v="2"/>
    <s v="Buena"/>
    <n v="32"/>
    <n v="4"/>
    <n v="41"/>
    <n v="1.9004510521066145"/>
    <s v="No"/>
    <s v="No"/>
  </r>
  <r>
    <s v="TXN074"/>
    <x v="30"/>
    <x v="3"/>
    <x v="0"/>
    <x v="1"/>
    <x v="8"/>
    <s v="José Martín"/>
    <n v="962"/>
    <n v="3"/>
    <n v="2886"/>
    <n v="683.45"/>
    <n v="835.64"/>
    <n v="3.2"/>
    <n v="7"/>
    <n v="0"/>
    <s v="Tarjeta"/>
    <n v="0.28954954954954953"/>
    <s v="Riesgo"/>
    <s v="Q1"/>
    <n v="7"/>
    <s v="Mejorable"/>
    <n v="12"/>
    <n v="4.5"/>
    <n v="29"/>
    <n v="0.23409846984370847"/>
    <s v="No"/>
    <s v="No"/>
  </r>
  <r>
    <s v="TXN075"/>
    <x v="46"/>
    <x v="0"/>
    <x v="2"/>
    <x v="1"/>
    <x v="2"/>
    <s v="Laura Sánchez"/>
    <n v="1321"/>
    <n v="3"/>
    <n v="3368.55"/>
    <n v="1013.13"/>
    <n v="785.06"/>
    <n v="5"/>
    <n v="2"/>
    <n v="0.15"/>
    <s v="Efectivo"/>
    <n v="0.23305576583396415"/>
    <s v="Premium"/>
    <s v="Q1"/>
    <n v="5"/>
    <s v="Excelente"/>
    <n v="33"/>
    <n v="4.0999999999999996"/>
    <n v="41"/>
    <n v="0.57568659158158686"/>
    <s v="No"/>
    <s v="No"/>
  </r>
  <r>
    <s v="TXN076"/>
    <x v="4"/>
    <x v="1"/>
    <x v="1"/>
    <x v="1"/>
    <x v="8"/>
    <s v="María Rodríguez"/>
    <n v="871"/>
    <n v="3"/>
    <n v="2221.0500000000002"/>
    <n v="581.80999999999995"/>
    <n v="737.44"/>
    <n v="4.5999999999999996"/>
    <n v="3"/>
    <n v="0.15"/>
    <s v="Tarjeta"/>
    <n v="0.33202314220751444"/>
    <s v="Premium"/>
    <s v="Q1"/>
    <n v="2"/>
    <s v="Buena"/>
    <n v="30"/>
    <n v="4.2"/>
    <n v="29"/>
    <n v="-0.23660720117401413"/>
    <s v="No"/>
    <s v="No"/>
  </r>
  <r>
    <s v="TXN077"/>
    <x v="45"/>
    <x v="2"/>
    <x v="2"/>
    <x v="0"/>
    <x v="6"/>
    <s v="Miguel Torres"/>
    <n v="452"/>
    <n v="4"/>
    <n v="1536.8"/>
    <n v="302.39999999999998"/>
    <n v="508.64"/>
    <n v="4.0999999999999996"/>
    <n v="5"/>
    <n v="0.15"/>
    <s v="Efectivo"/>
    <n v="0.33097345132743361"/>
    <s v="Estandar"/>
    <s v="Q1"/>
    <n v="3"/>
    <s v="Mejorable"/>
    <n v="12"/>
    <n v="4.3"/>
    <n v="37"/>
    <n v="-0.72097498129865045"/>
    <s v="No"/>
    <s v="No"/>
  </r>
  <r>
    <s v="TXN078"/>
    <x v="47"/>
    <x v="2"/>
    <x v="0"/>
    <x v="0"/>
    <x v="4"/>
    <s v="Carmen Ruiz"/>
    <n v="539"/>
    <n v="4"/>
    <n v="2156"/>
    <n v="357.7"/>
    <n v="725.2"/>
    <n v="3.9"/>
    <n v="7"/>
    <n v="0"/>
    <s v="Efectivo"/>
    <n v="0.33636363636363636"/>
    <s v="Riesgo"/>
    <s v="Q1"/>
    <n v="4"/>
    <s v="Mejorable"/>
    <n v="15"/>
    <n v="4.7"/>
    <n v="38"/>
    <n v="-0.28265487979602022"/>
    <s v="No"/>
    <s v="No"/>
  </r>
  <r>
    <s v="TXN079"/>
    <x v="48"/>
    <x v="1"/>
    <x v="1"/>
    <x v="1"/>
    <x v="1"/>
    <s v="Pedro González"/>
    <n v="902"/>
    <n v="4"/>
    <n v="3608"/>
    <n v="636.08000000000004"/>
    <n v="1063.67"/>
    <n v="3.9"/>
    <n v="6"/>
    <n v="0"/>
    <s v="Tarjeta"/>
    <n v="0.29480875831485592"/>
    <s v="Riesgo"/>
    <s v="Q1"/>
    <n v="2"/>
    <s v="Mejorable"/>
    <n v="32"/>
    <n v="4"/>
    <n v="41"/>
    <n v="0.7451887690764265"/>
    <s v="No"/>
    <s v="No"/>
  </r>
  <r>
    <s v="TXN080"/>
    <x v="41"/>
    <x v="1"/>
    <x v="0"/>
    <x v="2"/>
    <x v="5"/>
    <s v="Pedro González"/>
    <n v="1007"/>
    <n v="1"/>
    <n v="906.3"/>
    <n v="775.86"/>
    <n v="208.02"/>
    <n v="4.7"/>
    <n v="4"/>
    <n v="0.1"/>
    <s v="Efectivo"/>
    <n v="0.22952664680569351"/>
    <s v="Premium"/>
    <s v="Q1"/>
    <n v="5"/>
    <s v="Buena"/>
    <n v="32"/>
    <n v="4"/>
    <n v="35"/>
    <n v="-1.1672941415011833"/>
    <s v="No"/>
    <s v="No"/>
  </r>
  <r>
    <s v="TXN081"/>
    <x v="11"/>
    <x v="3"/>
    <x v="2"/>
    <x v="1"/>
    <x v="8"/>
    <s v="Carlos López"/>
    <n v="1040"/>
    <n v="3"/>
    <n v="2964"/>
    <n v="779.33"/>
    <n v="742.92"/>
    <n v="3.9"/>
    <n v="1"/>
    <n v="0.05"/>
    <s v="Transferencia"/>
    <n v="0.25064777327935223"/>
    <s v="Riesgo"/>
    <s v="Q1"/>
    <n v="5"/>
    <s v="Excelente"/>
    <n v="10"/>
    <n v="4.4000000000000004"/>
    <n v="29"/>
    <n v="0.28931321131206306"/>
    <s v="No"/>
    <s v="No"/>
  </r>
  <r>
    <s v="TXN082"/>
    <x v="5"/>
    <x v="3"/>
    <x v="0"/>
    <x v="0"/>
    <x v="0"/>
    <s v="Ana García"/>
    <n v="347"/>
    <n v="3"/>
    <n v="1041"/>
    <n v="228.56"/>
    <n v="355.32"/>
    <n v="3.7"/>
    <n v="2"/>
    <n v="0"/>
    <s v="Tarjeta"/>
    <n v="0.34132564841498558"/>
    <s v="Riesgo"/>
    <s v="Q1"/>
    <n v="7"/>
    <s v="Excelente"/>
    <n v="37"/>
    <n v="3.6"/>
    <n v="44"/>
    <n v="-1.07194253027314"/>
    <s v="No"/>
    <s v="No"/>
  </r>
  <r>
    <s v="TXN083"/>
    <x v="43"/>
    <x v="3"/>
    <x v="2"/>
    <x v="0"/>
    <x v="4"/>
    <s v="María Rodríguez"/>
    <n v="479"/>
    <n v="1"/>
    <n v="407.15"/>
    <n v="346.77"/>
    <n v="112.4"/>
    <n v="3.5"/>
    <n v="5"/>
    <n v="0.15"/>
    <s v="Tarjeta"/>
    <n v="0.27606533218715462"/>
    <s v="Riesgo"/>
    <s v="Q1"/>
    <n v="6"/>
    <s v="Mejorable"/>
    <n v="30"/>
    <n v="4.2"/>
    <n v="38"/>
    <n v="-1.5206330928336087"/>
    <s v="No"/>
    <s v="No"/>
  </r>
  <r>
    <s v="TXN084"/>
    <x v="27"/>
    <x v="3"/>
    <x v="2"/>
    <x v="2"/>
    <x v="5"/>
    <s v="Laura Sánchez"/>
    <n v="609"/>
    <n v="4"/>
    <n v="2192.4"/>
    <n v="447.93"/>
    <n v="579.84"/>
    <n v="3.3"/>
    <n v="4"/>
    <n v="0.1"/>
    <s v="Efectivo"/>
    <n v="0.26447728516694036"/>
    <s v="Riesgo"/>
    <s v="Q1"/>
    <n v="3"/>
    <s v="Buena"/>
    <n v="33"/>
    <n v="4.0999999999999996"/>
    <n v="35"/>
    <n v="-0.25688800044412136"/>
    <s v="No"/>
    <s v="No"/>
  </r>
  <r>
    <s v="TXN085"/>
    <x v="14"/>
    <x v="2"/>
    <x v="2"/>
    <x v="2"/>
    <x v="3"/>
    <s v="Laura Sánchez"/>
    <n v="1067"/>
    <n v="3"/>
    <n v="3040.95"/>
    <n v="853.47"/>
    <n v="608.57000000000005"/>
    <n v="4.7"/>
    <n v="1"/>
    <n v="0.05"/>
    <s v="Tarjeta"/>
    <n v="0.20012496094970325"/>
    <s v="Premium"/>
    <s v="Q1"/>
    <n v="7"/>
    <s v="Excelente"/>
    <n v="33"/>
    <n v="4.0999999999999996"/>
    <n v="37"/>
    <n v="0.34378467741449736"/>
    <s v="No"/>
    <s v="No"/>
  </r>
  <r>
    <s v="TXN086"/>
    <x v="38"/>
    <x v="2"/>
    <x v="2"/>
    <x v="2"/>
    <x v="3"/>
    <s v="Laura Sánchez"/>
    <n v="622"/>
    <n v="4"/>
    <n v="2239.1999999999998"/>
    <n v="374.21"/>
    <n v="892.05"/>
    <n v="4.7"/>
    <n v="7"/>
    <n v="0.1"/>
    <s v="Transferencia"/>
    <n v="0.39837888531618437"/>
    <s v="Premium"/>
    <s v="Q1"/>
    <n v="1"/>
    <s v="Mejorable"/>
    <n v="33"/>
    <n v="4.0999999999999996"/>
    <n v="37"/>
    <n v="-0.22375915556310882"/>
    <s v="No"/>
    <s v="No"/>
  </r>
  <r>
    <s v="TXN087"/>
    <x v="44"/>
    <x v="3"/>
    <x v="1"/>
    <x v="1"/>
    <x v="8"/>
    <s v="Pedro González"/>
    <n v="1024"/>
    <n v="2"/>
    <n v="1843.2"/>
    <n v="753.21"/>
    <n v="487.43"/>
    <n v="4.4000000000000004"/>
    <n v="6"/>
    <n v="0.1"/>
    <s v="Transferencia"/>
    <n v="0.26444769965277776"/>
    <s v="Estandar"/>
    <s v="Q1"/>
    <n v="1"/>
    <s v="Mejorable"/>
    <n v="32"/>
    <n v="4"/>
    <n v="29"/>
    <n v="-0.50408015071013956"/>
    <s v="No"/>
    <s v="No"/>
  </r>
  <r>
    <s v="TXN088"/>
    <x v="24"/>
    <x v="0"/>
    <x v="2"/>
    <x v="0"/>
    <x v="4"/>
    <s v="Laura Sánchez"/>
    <n v="751"/>
    <n v="1"/>
    <n v="675.9"/>
    <n v="560.6"/>
    <n v="171.36"/>
    <n v="3.2"/>
    <n v="3"/>
    <n v="0.1"/>
    <s v="Efectivo"/>
    <n v="0.25352862849533958"/>
    <s v="Riesgo"/>
    <s v="Q1"/>
    <n v="5"/>
    <s v="Buena"/>
    <n v="33"/>
    <n v="4.0999999999999996"/>
    <n v="38"/>
    <n v="-1.330389993223092"/>
    <s v="No"/>
    <s v="No"/>
  </r>
  <r>
    <s v="TXN089"/>
    <x v="2"/>
    <x v="1"/>
    <x v="0"/>
    <x v="1"/>
    <x v="8"/>
    <s v="Pedro González"/>
    <n v="1343"/>
    <n v="5"/>
    <n v="6043.5"/>
    <n v="1028.8599999999999"/>
    <n v="1413.61"/>
    <n v="3.5"/>
    <n v="7"/>
    <n v="0.1"/>
    <s v="Efectivo"/>
    <n v="0.23390584925953503"/>
    <s v="Riesgo"/>
    <s v="Q1"/>
    <n v="6"/>
    <s v="Mejorable"/>
    <n v="32"/>
    <n v="4"/>
    <n v="29"/>
    <n v="2.4692336773607542"/>
    <s v="No"/>
    <s v="No"/>
  </r>
  <r>
    <s v="TXN090"/>
    <x v="49"/>
    <x v="2"/>
    <x v="0"/>
    <x v="2"/>
    <x v="7"/>
    <s v="María Rodríguez"/>
    <n v="831"/>
    <n v="4"/>
    <n v="2991.6"/>
    <n v="513.61"/>
    <n v="1142.6099999999999"/>
    <n v="3.8"/>
    <n v="3"/>
    <n v="0.1"/>
    <s v="Transferencia"/>
    <n v="0.38193943040513434"/>
    <s v="Riesgo"/>
    <s v="Q1"/>
    <n v="4"/>
    <s v="Buena"/>
    <n v="30"/>
    <n v="4.2"/>
    <n v="38"/>
    <n v="0.30885073521625001"/>
    <s v="No"/>
    <s v="No"/>
  </r>
  <r>
    <s v="TXN091"/>
    <x v="50"/>
    <x v="3"/>
    <x v="1"/>
    <x v="0"/>
    <x v="6"/>
    <s v="Laura Sánchez"/>
    <n v="898"/>
    <n v="4"/>
    <n v="3232.8"/>
    <n v="558.26"/>
    <n v="1223.07"/>
    <n v="3.5"/>
    <n v="1"/>
    <n v="0.1"/>
    <s v="Transferencia"/>
    <n v="0.37833147735708977"/>
    <s v="Riesgo"/>
    <s v="Q1"/>
    <n v="3"/>
    <s v="Excelente"/>
    <n v="33"/>
    <n v="4.0999999999999996"/>
    <n v="37"/>
    <n v="0.47959170498762355"/>
    <s v="No"/>
    <s v="No"/>
  </r>
  <r>
    <s v="TXN092"/>
    <x v="51"/>
    <x v="2"/>
    <x v="2"/>
    <x v="1"/>
    <x v="8"/>
    <s v="Carlos López"/>
    <n v="1275"/>
    <n v="3"/>
    <n v="3251.25"/>
    <n v="794.75"/>
    <n v="1224.6300000000001"/>
    <n v="3.1"/>
    <n v="1"/>
    <n v="0.15"/>
    <s v="Efectivo"/>
    <n v="0.37666435986159175"/>
    <s v="Riesgo"/>
    <s v="Q1"/>
    <n v="3"/>
    <s v="Excelente"/>
    <n v="10"/>
    <n v="4.4000000000000004"/>
    <n v="29"/>
    <n v="0.49265211498879191"/>
    <s v="No"/>
    <s v="No"/>
  </r>
  <r>
    <s v="TXN093"/>
    <x v="52"/>
    <x v="0"/>
    <x v="0"/>
    <x v="1"/>
    <x v="8"/>
    <s v="María Rodríguez"/>
    <n v="1197"/>
    <n v="4"/>
    <n v="4309.2"/>
    <n v="878.71"/>
    <n v="1145.83"/>
    <n v="4.5"/>
    <n v="5"/>
    <n v="0.1"/>
    <s v="Efectivo"/>
    <n v="0.26590318388563999"/>
    <s v="Estandar"/>
    <s v="Q1"/>
    <n v="2"/>
    <s v="Mejorable"/>
    <n v="30"/>
    <n v="4.2"/>
    <n v="29"/>
    <n v="1.2415551372509164"/>
    <s v="No"/>
    <s v="No"/>
  </r>
  <r>
    <s v="TXN094"/>
    <x v="14"/>
    <x v="1"/>
    <x v="1"/>
    <x v="0"/>
    <x v="4"/>
    <s v="Miguel Torres"/>
    <n v="717"/>
    <n v="3"/>
    <n v="2151"/>
    <n v="529.19000000000005"/>
    <n v="563.44000000000005"/>
    <n v="3.4"/>
    <n v="4"/>
    <n v="0"/>
    <s v="Tarjeta"/>
    <n v="0.26194328219432822"/>
    <s v="Riesgo"/>
    <s v="Q1"/>
    <n v="7"/>
    <s v="Buena"/>
    <n v="12"/>
    <n v="4.3"/>
    <n v="38"/>
    <n v="-0.28619428630040195"/>
    <s v="No"/>
    <s v="No"/>
  </r>
  <r>
    <s v="TXN095"/>
    <x v="53"/>
    <x v="0"/>
    <x v="2"/>
    <x v="2"/>
    <x v="3"/>
    <s v="Pedro González"/>
    <n v="662"/>
    <n v="4"/>
    <n v="2383.1999999999998"/>
    <n v="422.33"/>
    <n v="862.81"/>
    <n v="3.2"/>
    <n v="7"/>
    <n v="0.1"/>
    <s v="Efectivo"/>
    <n v="0.36203843571668348"/>
    <s v="Riesgo"/>
    <s v="Q1"/>
    <n v="6"/>
    <s v="Mejorable"/>
    <n v="32"/>
    <n v="4"/>
    <n v="37"/>
    <n v="-0.12182424823691575"/>
    <s v="No"/>
    <s v="No"/>
  </r>
  <r>
    <s v="TXN096"/>
    <x v="54"/>
    <x v="1"/>
    <x v="2"/>
    <x v="0"/>
    <x v="6"/>
    <s v="Ana García"/>
    <n v="351"/>
    <n v="3"/>
    <n v="1000.35"/>
    <n v="280.02"/>
    <n v="202.31"/>
    <n v="4.5999999999999996"/>
    <n v="2"/>
    <n v="0.05"/>
    <s v="Tarjeta"/>
    <n v="0.202239216274304"/>
    <s v="Premium"/>
    <s v="Q1"/>
    <n v="6"/>
    <s v="Excelente"/>
    <n v="37"/>
    <n v="3.6"/>
    <n v="37"/>
    <n v="-1.1007179051537634"/>
    <s v="No"/>
    <s v="No"/>
  </r>
  <r>
    <s v="TXN097"/>
    <x v="4"/>
    <x v="1"/>
    <x v="2"/>
    <x v="1"/>
    <x v="1"/>
    <s v="Pedro González"/>
    <n v="951"/>
    <n v="5"/>
    <n v="4755"/>
    <n v="623.34"/>
    <n v="1638.31"/>
    <n v="5"/>
    <n v="2"/>
    <n v="0"/>
    <s v="Transferencia"/>
    <n v="0.3445446898002103"/>
    <s v="Premium"/>
    <s v="Q1"/>
    <n v="2"/>
    <s v="Excelente"/>
    <n v="32"/>
    <n v="4"/>
    <n v="41"/>
    <n v="1.5571286211815893"/>
    <s v="No"/>
    <s v="No"/>
  </r>
  <r>
    <s v="TXN098"/>
    <x v="36"/>
    <x v="1"/>
    <x v="0"/>
    <x v="0"/>
    <x v="4"/>
    <s v="María Rodríguez"/>
    <n v="315"/>
    <n v="3"/>
    <n v="897.75"/>
    <n v="226.1"/>
    <n v="253.37"/>
    <n v="3"/>
    <n v="3"/>
    <n v="0.05"/>
    <s v="Tarjeta"/>
    <n v="0.28222779170147594"/>
    <s v="Riesgo"/>
    <s v="Q1"/>
    <n v="6"/>
    <s v="Buena"/>
    <n v="30"/>
    <n v="4.2"/>
    <n v="38"/>
    <n v="-1.173346526623676"/>
    <s v="No"/>
    <s v="No"/>
  </r>
  <r>
    <s v="TXN099"/>
    <x v="25"/>
    <x v="3"/>
    <x v="2"/>
    <x v="1"/>
    <x v="8"/>
    <s v="Carlos López"/>
    <n v="1287"/>
    <n v="4"/>
    <n v="4633.2"/>
    <n v="904.31"/>
    <n v="1377.69"/>
    <n v="3.2"/>
    <n v="5"/>
    <n v="0.1"/>
    <s v="Tarjeta"/>
    <n v="0.29735172235172236"/>
    <s v="Riesgo"/>
    <s v="Q1"/>
    <n v="4"/>
    <s v="Mejorable"/>
    <n v="10"/>
    <n v="4.4000000000000004"/>
    <n v="29"/>
    <n v="1.4709086787348509"/>
    <s v="No"/>
    <s v="No"/>
  </r>
  <r>
    <s v="TXN100"/>
    <x v="55"/>
    <x v="0"/>
    <x v="2"/>
    <x v="0"/>
    <x v="6"/>
    <s v="Laura Sánchez"/>
    <n v="769"/>
    <n v="1"/>
    <n v="769"/>
    <n v="614.98"/>
    <n v="154.02000000000001"/>
    <n v="4.7"/>
    <n v="4"/>
    <n v="0"/>
    <s v="Transferencia"/>
    <n v="0.20028608582574775"/>
    <s v="Premium"/>
    <s v="Q1"/>
    <n v="3"/>
    <s v="Buena"/>
    <n v="33"/>
    <n v="4.0999999999999996"/>
    <n v="37"/>
    <n v="-1.2644862441115048"/>
    <s v="No"/>
    <s v="No"/>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120F139-6F19-4417-A222-D40F69732C7F}" name="TablaDinámica1" cacheId="0"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location ref="A4:AO59" firstHeaderRow="1" firstDataRow="4" firstDataCol="1" rowPageCount="2" colPageCount="1"/>
  <pivotFields count="25">
    <pivotField dataField="1" showAll="0"/>
    <pivotField numFmtId="14" showAll="0"/>
    <pivotField axis="axisRow" showAll="0">
      <items count="5">
        <item x="2"/>
        <item x="0"/>
        <item x="3"/>
        <item x="1"/>
        <item t="default"/>
      </items>
    </pivotField>
    <pivotField axis="axisRow" showAll="0">
      <items count="4">
        <item x="2"/>
        <item x="0"/>
        <item x="1"/>
        <item t="default"/>
      </items>
    </pivotField>
    <pivotField axis="axisRow" showAll="0">
      <items count="4">
        <item x="1"/>
        <item x="2"/>
        <item x="0"/>
        <item t="default"/>
      </items>
    </pivotField>
    <pivotField showAll="0"/>
    <pivotField axis="axisPage" multipleItemSelectionAllowed="1" showAll="0">
      <items count="9">
        <item x="1"/>
        <item x="5"/>
        <item x="6"/>
        <item x="0"/>
        <item x="7"/>
        <item x="3"/>
        <item x="4"/>
        <item x="2"/>
        <item t="default"/>
      </items>
    </pivotField>
    <pivotField showAll="0"/>
    <pivotField showAll="0"/>
    <pivotField dataField="1" showAll="0"/>
    <pivotField showAll="0"/>
    <pivotField showAll="0"/>
    <pivotField dataField="1" showAll="0"/>
    <pivotField showAll="0"/>
    <pivotField showAll="0"/>
    <pivotField axis="axisPage" showAll="0">
      <items count="4">
        <item x="1"/>
        <item x="2"/>
        <item x="0"/>
        <item t="default"/>
      </items>
    </pivotField>
    <pivotField dataField="1" showAll="0"/>
    <pivotField axis="axisCol" showAll="0">
      <items count="4">
        <item x="1"/>
        <item x="0"/>
        <item x="2"/>
        <item t="default"/>
      </items>
    </pivotField>
    <pivotField axis="axisCol" showAll="0">
      <items count="2">
        <item x="0"/>
        <item t="default"/>
      </items>
    </pivotField>
    <pivotField showAll="0"/>
    <pivotField showAll="0"/>
    <pivotField showAll="0"/>
    <pivotField showAll="0"/>
    <pivotField dataField="1" dragToRow="0" dragToCol="0" dragToPage="0" showAll="0" defaultSubtotal="0"/>
    <pivotField dataField="1" dragToRow="0" dragToCol="0" dragToPage="0" showAll="0" defaultSubtotal="0"/>
  </pivotFields>
  <rowFields count="3">
    <field x="2"/>
    <field x="3"/>
    <field x="4"/>
  </rowFields>
  <rowItems count="52">
    <i>
      <x/>
    </i>
    <i r="1">
      <x/>
    </i>
    <i r="2">
      <x/>
    </i>
    <i r="2">
      <x v="1"/>
    </i>
    <i r="2">
      <x v="2"/>
    </i>
    <i r="1">
      <x v="1"/>
    </i>
    <i r="2">
      <x/>
    </i>
    <i r="2">
      <x v="1"/>
    </i>
    <i r="2">
      <x v="2"/>
    </i>
    <i r="1">
      <x v="2"/>
    </i>
    <i r="2">
      <x/>
    </i>
    <i r="2">
      <x v="2"/>
    </i>
    <i>
      <x v="1"/>
    </i>
    <i r="1">
      <x/>
    </i>
    <i r="2">
      <x/>
    </i>
    <i r="2">
      <x v="1"/>
    </i>
    <i r="2">
      <x v="2"/>
    </i>
    <i r="1">
      <x v="1"/>
    </i>
    <i r="2">
      <x/>
    </i>
    <i r="2">
      <x v="1"/>
    </i>
    <i r="2">
      <x v="2"/>
    </i>
    <i r="1">
      <x v="2"/>
    </i>
    <i r="2">
      <x/>
    </i>
    <i r="2">
      <x v="1"/>
    </i>
    <i r="2">
      <x v="2"/>
    </i>
    <i>
      <x v="2"/>
    </i>
    <i r="1">
      <x/>
    </i>
    <i r="2">
      <x/>
    </i>
    <i r="2">
      <x v="1"/>
    </i>
    <i r="2">
      <x v="2"/>
    </i>
    <i r="1">
      <x v="1"/>
    </i>
    <i r="2">
      <x/>
    </i>
    <i r="2">
      <x v="1"/>
    </i>
    <i r="2">
      <x v="2"/>
    </i>
    <i r="1">
      <x v="2"/>
    </i>
    <i r="2">
      <x/>
    </i>
    <i r="2">
      <x v="1"/>
    </i>
    <i r="2">
      <x v="2"/>
    </i>
    <i>
      <x v="3"/>
    </i>
    <i r="1">
      <x/>
    </i>
    <i r="2">
      <x/>
    </i>
    <i r="2">
      <x v="1"/>
    </i>
    <i r="2">
      <x v="2"/>
    </i>
    <i r="1">
      <x v="1"/>
    </i>
    <i r="2">
      <x/>
    </i>
    <i r="2">
      <x v="1"/>
    </i>
    <i r="2">
      <x v="2"/>
    </i>
    <i r="1">
      <x v="2"/>
    </i>
    <i r="2">
      <x/>
    </i>
    <i r="2">
      <x v="1"/>
    </i>
    <i r="2">
      <x v="2"/>
    </i>
    <i t="grand">
      <x/>
    </i>
  </rowItems>
  <colFields count="3">
    <field x="18"/>
    <field x="17"/>
    <field x="-2"/>
  </colFields>
  <colItems count="40">
    <i>
      <x/>
      <x/>
      <x/>
    </i>
    <i r="2" i="1">
      <x v="1"/>
    </i>
    <i r="2" i="2">
      <x v="2"/>
    </i>
    <i r="2" i="3">
      <x v="3"/>
    </i>
    <i r="2" i="4">
      <x v="4"/>
    </i>
    <i r="2" i="5">
      <x v="5"/>
    </i>
    <i r="2" i="6">
      <x v="6"/>
    </i>
    <i r="2" i="7">
      <x v="7"/>
    </i>
    <i r="1">
      <x v="1"/>
      <x/>
    </i>
    <i r="2" i="1">
      <x v="1"/>
    </i>
    <i r="2" i="2">
      <x v="2"/>
    </i>
    <i r="2" i="3">
      <x v="3"/>
    </i>
    <i r="2" i="4">
      <x v="4"/>
    </i>
    <i r="2" i="5">
      <x v="5"/>
    </i>
    <i r="2" i="6">
      <x v="6"/>
    </i>
    <i r="2" i="7">
      <x v="7"/>
    </i>
    <i r="1">
      <x v="2"/>
      <x/>
    </i>
    <i r="2" i="1">
      <x v="1"/>
    </i>
    <i r="2" i="2">
      <x v="2"/>
    </i>
    <i r="2" i="3">
      <x v="3"/>
    </i>
    <i r="2" i="4">
      <x v="4"/>
    </i>
    <i r="2" i="5">
      <x v="5"/>
    </i>
    <i r="2" i="6">
      <x v="6"/>
    </i>
    <i r="2" i="7">
      <x v="7"/>
    </i>
    <i t="default">
      <x/>
    </i>
    <i t="default" i="1">
      <x/>
    </i>
    <i t="default" i="2">
      <x/>
    </i>
    <i t="default" i="3">
      <x/>
    </i>
    <i t="default" i="4">
      <x/>
    </i>
    <i t="default" i="5">
      <x/>
    </i>
    <i t="default" i="6">
      <x/>
    </i>
    <i t="default" i="7">
      <x/>
    </i>
    <i t="grand">
      <x/>
    </i>
    <i t="grand" i="1">
      <x/>
    </i>
    <i t="grand" i="2">
      <x/>
    </i>
    <i t="grand" i="3">
      <x/>
    </i>
    <i t="grand" i="4">
      <x/>
    </i>
    <i t="grand" i="5">
      <x/>
    </i>
    <i t="grand" i="6">
      <x/>
    </i>
    <i t="grand" i="7">
      <x/>
    </i>
  </colItems>
  <pageFields count="2">
    <pageField fld="6" hier="-1"/>
    <pageField fld="15" hier="-1"/>
  </pageFields>
  <dataFields count="8">
    <dataField name="Suma de Ticket_Promedio2" fld="24" baseField="0" baseItem="0"/>
    <dataField name="Suma de Margen_Promedio2" fld="23" baseField="0" baseItem="0"/>
    <dataField name="Suma de Rentabilidad_Pct" fld="16" baseField="0" baseItem="0"/>
    <dataField name="Cuenta de ID_Transaccion" fld="0" subtotal="count" baseField="0" baseItem="0"/>
    <dataField name="Suma de Ingresos_Totales" fld="9" baseField="0" baseItem="0"/>
    <dataField name="Suma de Satisfaccion_Cliente" fld="12" baseField="0" baseItem="0"/>
    <dataField name="Suma de Margen_Promedio" fld="23" baseField="0" baseItem="0"/>
    <dataField name="Suma de Ticket_Promedio" fld="2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6B667A2-CEF7-409D-9ED2-970961E23E05}" name="TablaDinámica15" cacheId="1"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fieldListSortAscending="1">
  <location ref="F17:H21" firstHeaderRow="0" firstDataRow="1" firstDataCol="1"/>
  <pivotFields count="29">
    <pivotField showAll="0"/>
    <pivotField numFmtId="14" showAll="0">
      <items count="57">
        <item x="33"/>
        <item x="44"/>
        <item x="18"/>
        <item x="23"/>
        <item x="6"/>
        <item x="54"/>
        <item x="5"/>
        <item x="3"/>
        <item x="50"/>
        <item x="25"/>
        <item x="24"/>
        <item x="40"/>
        <item x="32"/>
        <item x="35"/>
        <item x="31"/>
        <item x="8"/>
        <item x="27"/>
        <item x="15"/>
        <item x="21"/>
        <item x="36"/>
        <item x="45"/>
        <item x="49"/>
        <item x="22"/>
        <item x="42"/>
        <item x="53"/>
        <item x="37"/>
        <item x="38"/>
        <item x="48"/>
        <item x="16"/>
        <item x="41"/>
        <item x="2"/>
        <item x="1"/>
        <item x="28"/>
        <item x="17"/>
        <item x="47"/>
        <item x="46"/>
        <item x="12"/>
        <item x="52"/>
        <item x="20"/>
        <item x="43"/>
        <item x="39"/>
        <item x="34"/>
        <item x="4"/>
        <item x="51"/>
        <item x="14"/>
        <item x="9"/>
        <item x="55"/>
        <item x="26"/>
        <item x="11"/>
        <item x="0"/>
        <item x="10"/>
        <item x="19"/>
        <item x="29"/>
        <item x="7"/>
        <item x="13"/>
        <item x="30"/>
        <item t="default"/>
      </items>
    </pivotField>
    <pivotField showAll="0"/>
    <pivotField showAll="0"/>
    <pivotField showAll="0">
      <items count="4">
        <item h="1" x="1"/>
        <item h="1" x="2"/>
        <item x="0"/>
        <item t="default"/>
      </items>
    </pivotField>
    <pivotField axis="axisRow" showAll="0">
      <items count="10">
        <item x="2"/>
        <item x="5"/>
        <item x="0"/>
        <item x="1"/>
        <item x="4"/>
        <item x="7"/>
        <item x="3"/>
        <item x="6"/>
        <item x="8"/>
        <item t="default"/>
      </items>
    </pivotField>
    <pivotField showAll="0"/>
    <pivotField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5"/>
  </rowFields>
  <rowItems count="4">
    <i>
      <x v="2"/>
    </i>
    <i>
      <x v="4"/>
    </i>
    <i>
      <x v="7"/>
    </i>
    <i t="grand">
      <x/>
    </i>
  </rowItems>
  <colFields count="1">
    <field x="-2"/>
  </colFields>
  <colItems count="2">
    <i>
      <x/>
    </i>
    <i i="1">
      <x v="1"/>
    </i>
  </colItems>
  <dataFields count="2">
    <dataField name="Suma de Ingresos_Totales" fld="9" baseField="0" baseItem="0"/>
    <dataField name="Suma de Cantidad"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E1F3DD7-06C7-49D7-8625-FBBCB18723AE}" name="TablaDinámica19" cacheId="1"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chartFormat="2">
  <location ref="A31:B63" firstHeaderRow="1" firstDataRow="1" firstDataCol="1"/>
  <pivotFields count="29">
    <pivotField showAll="0"/>
    <pivotField axis="axisRow" numFmtId="14" showAll="0">
      <items count="57">
        <item x="33"/>
        <item x="44"/>
        <item x="18"/>
        <item x="23"/>
        <item x="6"/>
        <item x="54"/>
        <item x="5"/>
        <item x="3"/>
        <item x="50"/>
        <item x="25"/>
        <item x="24"/>
        <item x="40"/>
        <item x="32"/>
        <item x="35"/>
        <item x="31"/>
        <item x="8"/>
        <item x="27"/>
        <item x="15"/>
        <item x="21"/>
        <item x="36"/>
        <item x="45"/>
        <item x="49"/>
        <item x="22"/>
        <item x="42"/>
        <item x="53"/>
        <item x="37"/>
        <item x="38"/>
        <item x="48"/>
        <item x="16"/>
        <item x="41"/>
        <item x="2"/>
        <item x="1"/>
        <item x="28"/>
        <item x="17"/>
        <item x="47"/>
        <item x="46"/>
        <item x="12"/>
        <item x="52"/>
        <item x="20"/>
        <item x="43"/>
        <item x="39"/>
        <item x="34"/>
        <item x="4"/>
        <item x="51"/>
        <item x="14"/>
        <item x="9"/>
        <item x="55"/>
        <item x="26"/>
        <item x="11"/>
        <item x="0"/>
        <item x="10"/>
        <item x="19"/>
        <item x="29"/>
        <item x="7"/>
        <item x="13"/>
        <item x="30"/>
        <item t="default"/>
      </items>
    </pivotField>
    <pivotField showAll="0">
      <items count="5">
        <item x="2"/>
        <item x="0"/>
        <item x="3"/>
        <item x="1"/>
        <item t="default"/>
      </items>
    </pivotField>
    <pivotField showAll="0">
      <items count="4">
        <item x="2"/>
        <item x="0"/>
        <item x="1"/>
        <item t="default"/>
      </items>
    </pivotField>
    <pivotField showAll="0">
      <items count="4">
        <item h="1" x="1"/>
        <item h="1" x="2"/>
        <item x="0"/>
        <item t="default"/>
      </items>
    </pivotField>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x="1"/>
        <item x="2"/>
        <item x="3"/>
        <item sd="0" x="4"/>
        <item sd="0" x="5"/>
        <item sd="0" x="6"/>
        <item sd="0" x="7"/>
        <item sd="0" x="8"/>
        <item sd="0" x="9"/>
        <item sd="0" x="10"/>
        <item sd="0" x="11"/>
        <item sd="0" x="12"/>
        <item sd="0" x="13"/>
        <item t="default"/>
      </items>
    </pivotField>
  </pivotFields>
  <rowFields count="3">
    <field x="28"/>
    <field x="27"/>
    <field x="1"/>
  </rowFields>
  <rowItems count="32">
    <i>
      <x v="1"/>
    </i>
    <i r="1">
      <x v="1"/>
    </i>
    <i r="1">
      <x v="10"/>
    </i>
    <i r="1">
      <x v="12"/>
    </i>
    <i r="1">
      <x v="13"/>
    </i>
    <i r="1">
      <x v="16"/>
    </i>
    <i r="1">
      <x v="18"/>
    </i>
    <i r="1">
      <x v="20"/>
    </i>
    <i r="1">
      <x v="22"/>
    </i>
    <i r="1">
      <x v="27"/>
    </i>
    <i r="1">
      <x v="28"/>
    </i>
    <i r="1">
      <x v="30"/>
    </i>
    <i>
      <x v="2"/>
    </i>
    <i r="1">
      <x v="32"/>
    </i>
    <i r="1">
      <x v="33"/>
    </i>
    <i r="1">
      <x v="37"/>
    </i>
    <i r="1">
      <x v="40"/>
    </i>
    <i r="1">
      <x v="48"/>
    </i>
    <i r="1">
      <x v="54"/>
    </i>
    <i r="1">
      <x v="56"/>
    </i>
    <i r="1">
      <x v="57"/>
    </i>
    <i r="1">
      <x v="59"/>
    </i>
    <i>
      <x v="3"/>
    </i>
    <i r="1">
      <x v="65"/>
    </i>
    <i r="1">
      <x v="68"/>
    </i>
    <i r="1">
      <x v="71"/>
    </i>
    <i r="1">
      <x v="76"/>
    </i>
    <i r="1">
      <x v="79"/>
    </i>
    <i r="1">
      <x v="81"/>
    </i>
    <i r="1">
      <x v="82"/>
    </i>
    <i r="1">
      <x v="86"/>
    </i>
    <i t="grand">
      <x/>
    </i>
  </rowItems>
  <colItems count="1">
    <i/>
  </colItems>
  <dataFields count="1">
    <dataField name="Suma de Ingresos_Totales" fld="9" baseField="0" baseItem="0"/>
  </dataFields>
  <chartFormats count="1">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ciónDeDatos_Fecha" xr10:uid="{A4797694-04FB-401B-BEA3-BDE66008CFA8}" sourceName="Fecha">
  <pivotTables>
    <pivotTable tabId="19" name="TablaDinámica19"/>
  </pivotTables>
  <data>
    <tabular pivotCacheId="1670792701">
      <items count="56">
        <i x="33" s="1"/>
        <i x="6" s="1"/>
        <i x="54" s="1"/>
        <i x="5" s="1"/>
        <i x="50" s="1"/>
        <i x="24" s="1"/>
        <i x="40" s="1"/>
        <i x="32" s="1"/>
        <i x="31" s="1"/>
        <i x="8" s="1"/>
        <i x="27" s="1"/>
        <i x="21" s="1"/>
        <i x="36" s="1"/>
        <i x="45" s="1"/>
        <i x="42" s="1"/>
        <i x="37" s="1"/>
        <i x="2" s="1"/>
        <i x="28" s="1"/>
        <i x="17" s="1"/>
        <i x="47" s="1"/>
        <i x="20" s="1"/>
        <i x="43" s="1"/>
        <i x="4" s="1"/>
        <i x="14" s="1"/>
        <i x="55" s="1"/>
        <i x="11" s="1"/>
        <i x="0" s="1"/>
        <i x="29" s="1"/>
        <i x="44" s="1" nd="1"/>
        <i x="18" s="1" nd="1"/>
        <i x="23" s="1" nd="1"/>
        <i x="3" s="1" nd="1"/>
        <i x="25" s="1" nd="1"/>
        <i x="35" s="1" nd="1"/>
        <i x="15" s="1" nd="1"/>
        <i x="49" s="1" nd="1"/>
        <i x="22" s="1" nd="1"/>
        <i x="53" s="1" nd="1"/>
        <i x="38" s="1" nd="1"/>
        <i x="48" s="1" nd="1"/>
        <i x="16" s="1" nd="1"/>
        <i x="41" s="1" nd="1"/>
        <i x="1" s="1" nd="1"/>
        <i x="46" s="1" nd="1"/>
        <i x="12" s="1" nd="1"/>
        <i x="52" s="1" nd="1"/>
        <i x="39" s="1" nd="1"/>
        <i x="34" s="1" nd="1"/>
        <i x="51" s="1" nd="1"/>
        <i x="9" s="1" nd="1"/>
        <i x="26" s="1" nd="1"/>
        <i x="10" s="1" nd="1"/>
        <i x="19" s="1" nd="1"/>
        <i x="7" s="1" nd="1"/>
        <i x="13" s="1" nd="1"/>
        <i x="30"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ciónDeDatos_Region" xr10:uid="{C1018145-5818-4EA4-B5E7-3670342EDC7E}" sourceName="Region">
  <pivotTables>
    <pivotTable tabId="19" name="TablaDinámica19"/>
  </pivotTables>
  <data>
    <tabular pivotCacheId="1670792701">
      <items count="4">
        <i x="2" s="1"/>
        <i x="0" s="1"/>
        <i x="3"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ciónDeDatos_Canal_Venta" xr10:uid="{311D0A45-5B32-444E-92E0-BC04A1E3276F}" sourceName="Canal_Venta">
  <pivotTables>
    <pivotTable tabId="19" name="TablaDinámica19"/>
  </pivotTables>
  <data>
    <tabular pivotCacheId="1670792701">
      <items count="3">
        <i x="2" s="1"/>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ciónDeDatos_Categoria" xr10:uid="{2DDB9624-ECD0-4A7B-B7A5-2FE68CF4BFDB}" sourceName="Categoria">
  <pivotTables>
    <pivotTable tabId="19" name="TablaDinámica19"/>
    <pivotTable tabId="19" name="TablaDinámica15"/>
  </pivotTables>
  <data>
    <tabular pivotCacheId="1670792701">
      <items count="3">
        <i x="1"/>
        <i x="2"/>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Fecha" xr10:uid="{EB877BB0-26BC-4E28-95B4-64A6E28FD43B}" cache="SegmentaciónDeDatos_Fecha" caption="Fecha" startItem="6" style="SlicerStyleLight2" rowHeight="241300"/>
  <slicer name="Region" xr10:uid="{546EFA3E-6863-4549-BBC6-52F62FD8CF33}" cache="SegmentaciónDeDatos_Region" caption="Region" style="SlicerStyleLight2" rowHeight="241300"/>
  <slicer name="Canal_Venta" xr10:uid="{361FDD93-80F3-48EE-A7FF-2F2CDE072374}" cache="SegmentaciónDeDatos_Canal_Venta" caption="Canal_Venta" style="SlicerStyleLight2" rowHeight="241300"/>
  <slicer name="Categoria" xr10:uid="{E6FF2398-E513-4B56-B63E-FFCC21AD1907}" cache="SegmentaciónDeDatos_Categoria" caption="Categoria" style="SlicerStyleLight2"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827AE04-C420-43FE-8006-6B4B02690370}" name="Datos_Productos" displayName="Datos_Productos" ref="A1:I10" totalsRowShown="0" headerRowDxfId="4">
  <autoFilter ref="A1:I10" xr:uid="{2827AE04-C420-43FE-8006-6B4B02690370}"/>
  <tableColumns count="9">
    <tableColumn id="1" xr3:uid="{55484815-12C6-4CA0-A82B-2D8536F62ACA}" name="Codigo_Producto"/>
    <tableColumn id="2" xr3:uid="{E82F4FC8-317C-47B1-A3AB-C3F252AC1205}" name="Nombre_Producto"/>
    <tableColumn id="3" xr3:uid="{71D4E852-8F18-4377-9CE9-8F85476DBF48}" name="Categoria"/>
    <tableColumn id="4" xr3:uid="{3F33302D-3F61-46B4-AE3F-347EADB8A1DE}" name="Precio_Lista"/>
    <tableColumn id="5" xr3:uid="{50198584-5018-403B-9B51-CB173F27876D}" name="Costo_Produccion"/>
    <tableColumn id="6" xr3:uid="{FB32A338-E130-4716-A6B3-BB5278DE1770}" name="Margen_Objetivo"/>
    <tableColumn id="7" xr3:uid="{DE156AC6-0C5B-44C3-8E3F-E77E5A24A3E9}" name="Stock_Actual"/>
    <tableColumn id="8" xr3:uid="{E22BD670-29BE-4808-87F5-9D7CE5A60DCB}" name="Proveedor"/>
    <tableColumn id="9" xr3:uid="{4E803313-B056-491C-9636-AE71C93F2CD4}" name="Tiempo_Reposicion"/>
  </tableColumns>
  <tableStyleInfo name="TableStyleMedium2"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1.xml.rels><?xml version="1.0" encoding="UTF-8" standalone="yes"?>
<Relationships xmlns="http://schemas.openxmlformats.org/package/2006/relationships"><Relationship Id="rId3" Type="http://schemas.openxmlformats.org/officeDocument/2006/relationships/drawing" Target="../drawings/drawing3.xml"/><Relationship Id="rId7" Type="http://schemas.microsoft.com/office/2007/relationships/slicer" Target="../slicers/slicer1.xml"/><Relationship Id="rId2" Type="http://schemas.openxmlformats.org/officeDocument/2006/relationships/pivotTable" Target="../pivotTables/pivotTable3.xml"/><Relationship Id="rId1" Type="http://schemas.openxmlformats.org/officeDocument/2006/relationships/pivotTable" Target="../pivotTables/pivotTable2.xml"/><Relationship Id="rId6" Type="http://schemas.openxmlformats.org/officeDocument/2006/relationships/ctrlProp" Target="../ctrlProps/ctrlProp2.xml"/><Relationship Id="rId5" Type="http://schemas.openxmlformats.org/officeDocument/2006/relationships/ctrlProp" Target="../ctrlProps/ctrlProp1.xml"/><Relationship Id="rId4" Type="http://schemas.openxmlformats.org/officeDocument/2006/relationships/vmlDrawing" Target="../drawings/vmlDrawing1.v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ACB047-94E2-4467-9A17-3E2915CC226B}">
  <sheetPr codeName="Hoja1"/>
  <dimension ref="A1:AO59"/>
  <sheetViews>
    <sheetView tabSelected="1" workbookViewId="0">
      <selection activeCell="A10" sqref="A10:A12 A14:A16 A18:A19 A22:A24 A26:A28 A30:A32 A35:A37 A39:A41 A43:A45 A48:A50 A52:A54 A56:A58"/>
    </sheetView>
  </sheetViews>
  <sheetFormatPr baseColWidth="10" defaultRowHeight="15" x14ac:dyDescent="0.25"/>
  <cols>
    <col min="1" max="1" width="18.28515625" bestFit="1" customWidth="1"/>
    <col min="2" max="2" width="25.28515625" bestFit="1" customWidth="1"/>
    <col min="3" max="3" width="27" bestFit="1" customWidth="1"/>
    <col min="4" max="4" width="24.28515625" bestFit="1" customWidth="1"/>
    <col min="5" max="5" width="23.85546875" bestFit="1" customWidth="1"/>
    <col min="6" max="6" width="24.140625" bestFit="1" customWidth="1"/>
    <col min="7" max="7" width="27.28515625" bestFit="1" customWidth="1"/>
    <col min="8" max="8" width="25.85546875" bestFit="1" customWidth="1"/>
    <col min="9" max="9" width="24.28515625" bestFit="1" customWidth="1"/>
    <col min="10" max="10" width="25.28515625" bestFit="1" customWidth="1"/>
    <col min="11" max="11" width="27" bestFit="1" customWidth="1"/>
    <col min="12" max="12" width="24.28515625" bestFit="1" customWidth="1"/>
    <col min="13" max="13" width="23.85546875" bestFit="1" customWidth="1"/>
    <col min="14" max="14" width="24.140625" bestFit="1" customWidth="1"/>
    <col min="15" max="15" width="27.28515625" bestFit="1" customWidth="1"/>
    <col min="16" max="16" width="25.85546875" bestFit="1" customWidth="1"/>
    <col min="17" max="17" width="24.28515625" bestFit="1" customWidth="1"/>
    <col min="18" max="18" width="25.28515625" bestFit="1" customWidth="1"/>
    <col min="19" max="19" width="27" bestFit="1" customWidth="1"/>
    <col min="20" max="20" width="24.28515625" bestFit="1" customWidth="1"/>
    <col min="21" max="21" width="23.85546875" bestFit="1" customWidth="1"/>
    <col min="22" max="22" width="24.140625" bestFit="1" customWidth="1"/>
    <col min="23" max="23" width="27.28515625" bestFit="1" customWidth="1"/>
    <col min="24" max="24" width="25.85546875" bestFit="1" customWidth="1"/>
    <col min="25" max="25" width="24.28515625" bestFit="1" customWidth="1"/>
    <col min="26" max="26" width="28.28515625" bestFit="1" customWidth="1"/>
    <col min="27" max="27" width="29.85546875" bestFit="1" customWidth="1"/>
    <col min="28" max="28" width="27.28515625" bestFit="1" customWidth="1"/>
    <col min="29" max="29" width="26.85546875" bestFit="1" customWidth="1"/>
    <col min="30" max="30" width="27.140625" bestFit="1" customWidth="1"/>
    <col min="31" max="31" width="30.140625" bestFit="1" customWidth="1"/>
    <col min="32" max="32" width="28.85546875" bestFit="1" customWidth="1"/>
    <col min="33" max="33" width="27.28515625" bestFit="1" customWidth="1"/>
    <col min="34" max="34" width="30.28515625" bestFit="1" customWidth="1"/>
    <col min="35" max="35" width="32" bestFit="1" customWidth="1"/>
    <col min="36" max="36" width="29.28515625" bestFit="1" customWidth="1"/>
    <col min="37" max="37" width="28.85546875" bestFit="1" customWidth="1"/>
    <col min="38" max="38" width="29.140625" bestFit="1" customWidth="1"/>
    <col min="39" max="39" width="32.28515625" bestFit="1" customWidth="1"/>
    <col min="40" max="40" width="30.85546875" bestFit="1" customWidth="1"/>
    <col min="41" max="41" width="29.28515625" bestFit="1" customWidth="1"/>
  </cols>
  <sheetData>
    <row r="1" spans="1:41" x14ac:dyDescent="0.25">
      <c r="A1" s="8" t="s">
        <v>6</v>
      </c>
      <c r="B1" t="s">
        <v>225</v>
      </c>
    </row>
    <row r="2" spans="1:41" x14ac:dyDescent="0.25">
      <c r="A2" s="8" t="s">
        <v>15</v>
      </c>
      <c r="B2" t="s">
        <v>225</v>
      </c>
    </row>
    <row r="4" spans="1:41" x14ac:dyDescent="0.25">
      <c r="B4" s="8" t="s">
        <v>212</v>
      </c>
    </row>
    <row r="5" spans="1:41" x14ac:dyDescent="0.25">
      <c r="B5" t="s">
        <v>207</v>
      </c>
      <c r="Z5" t="s">
        <v>235</v>
      </c>
      <c r="AA5" t="s">
        <v>232</v>
      </c>
      <c r="AB5" t="s">
        <v>222</v>
      </c>
      <c r="AC5" t="s">
        <v>219</v>
      </c>
      <c r="AD5" t="s">
        <v>214</v>
      </c>
      <c r="AE5" t="s">
        <v>215</v>
      </c>
      <c r="AF5" t="s">
        <v>226</v>
      </c>
      <c r="AG5" t="s">
        <v>229</v>
      </c>
      <c r="AH5" t="s">
        <v>236</v>
      </c>
      <c r="AI5" t="s">
        <v>233</v>
      </c>
      <c r="AJ5" t="s">
        <v>223</v>
      </c>
      <c r="AK5" t="s">
        <v>220</v>
      </c>
      <c r="AL5" t="s">
        <v>216</v>
      </c>
      <c r="AM5" t="s">
        <v>217</v>
      </c>
      <c r="AN5" t="s">
        <v>227</v>
      </c>
      <c r="AO5" t="s">
        <v>230</v>
      </c>
    </row>
    <row r="6" spans="1:41" x14ac:dyDescent="0.25">
      <c r="B6" t="s">
        <v>208</v>
      </c>
      <c r="J6" t="s">
        <v>206</v>
      </c>
      <c r="R6" t="s">
        <v>209</v>
      </c>
    </row>
    <row r="7" spans="1:41" x14ac:dyDescent="0.25">
      <c r="A7" s="8" t="s">
        <v>210</v>
      </c>
      <c r="B7" t="s">
        <v>237</v>
      </c>
      <c r="C7" t="s">
        <v>234</v>
      </c>
      <c r="D7" t="s">
        <v>224</v>
      </c>
      <c r="E7" t="s">
        <v>221</v>
      </c>
      <c r="F7" t="s">
        <v>213</v>
      </c>
      <c r="G7" t="s">
        <v>218</v>
      </c>
      <c r="H7" t="s">
        <v>228</v>
      </c>
      <c r="I7" t="s">
        <v>231</v>
      </c>
      <c r="J7" t="s">
        <v>237</v>
      </c>
      <c r="K7" t="s">
        <v>234</v>
      </c>
      <c r="L7" t="s">
        <v>224</v>
      </c>
      <c r="M7" t="s">
        <v>221</v>
      </c>
      <c r="N7" t="s">
        <v>213</v>
      </c>
      <c r="O7" t="s">
        <v>218</v>
      </c>
      <c r="P7" t="s">
        <v>228</v>
      </c>
      <c r="Q7" t="s">
        <v>231</v>
      </c>
      <c r="R7" t="s">
        <v>237</v>
      </c>
      <c r="S7" t="s">
        <v>234</v>
      </c>
      <c r="T7" t="s">
        <v>224</v>
      </c>
      <c r="U7" t="s">
        <v>221</v>
      </c>
      <c r="V7" t="s">
        <v>213</v>
      </c>
      <c r="W7" t="s">
        <v>218</v>
      </c>
      <c r="X7" t="s">
        <v>228</v>
      </c>
      <c r="Y7" t="s">
        <v>231</v>
      </c>
    </row>
    <row r="8" spans="1:41" x14ac:dyDescent="0.25">
      <c r="A8" s="5" t="s">
        <v>41</v>
      </c>
      <c r="B8">
        <v>758.51111111111118</v>
      </c>
      <c r="C8">
        <v>0.34060000585943218</v>
      </c>
      <c r="D8">
        <v>1.2855907359960477</v>
      </c>
      <c r="E8">
        <v>4</v>
      </c>
      <c r="F8">
        <v>6826.6</v>
      </c>
      <c r="G8">
        <v>16.799999999999997</v>
      </c>
      <c r="H8">
        <v>0.34060000585943218</v>
      </c>
      <c r="I8">
        <v>758.51111111111118</v>
      </c>
      <c r="J8">
        <v>699.44</v>
      </c>
      <c r="K8">
        <v>0.31533298067025045</v>
      </c>
      <c r="L8">
        <v>2.1726943274962398</v>
      </c>
      <c r="M8">
        <v>7</v>
      </c>
      <c r="N8">
        <v>13988.800000000001</v>
      </c>
      <c r="O8">
        <v>33.4</v>
      </c>
      <c r="P8">
        <v>0.31533298067025045</v>
      </c>
      <c r="Q8">
        <v>699.44</v>
      </c>
      <c r="R8">
        <v>918.22874999999999</v>
      </c>
      <c r="S8">
        <v>0.32446054428158566</v>
      </c>
      <c r="T8">
        <v>3.541113548649319</v>
      </c>
      <c r="U8">
        <v>11</v>
      </c>
      <c r="V8">
        <v>36729.15</v>
      </c>
      <c r="W8">
        <v>40.799999999999997</v>
      </c>
      <c r="X8">
        <v>0.32446054428158566</v>
      </c>
      <c r="Y8">
        <v>918.22874999999999</v>
      </c>
      <c r="Z8">
        <v>833.97898550724631</v>
      </c>
      <c r="AA8">
        <v>0.32415632757576524</v>
      </c>
      <c r="AB8">
        <v>6.999398612141607</v>
      </c>
      <c r="AC8">
        <v>22</v>
      </c>
      <c r="AD8">
        <v>57544.549999999996</v>
      </c>
      <c r="AE8">
        <v>91</v>
      </c>
      <c r="AF8">
        <v>0.32415632757576524</v>
      </c>
      <c r="AG8">
        <v>833.97898550724631</v>
      </c>
      <c r="AH8">
        <v>833.97898550724631</v>
      </c>
      <c r="AI8">
        <v>0.32415632757576524</v>
      </c>
      <c r="AJ8">
        <v>6.999398612141607</v>
      </c>
      <c r="AK8">
        <v>22</v>
      </c>
      <c r="AL8">
        <v>57544.549999999996</v>
      </c>
      <c r="AM8">
        <v>91</v>
      </c>
      <c r="AN8">
        <v>0.32415632757576524</v>
      </c>
      <c r="AO8">
        <v>833.97898550724631</v>
      </c>
    </row>
    <row r="9" spans="1:41" x14ac:dyDescent="0.25">
      <c r="A9" s="9" t="s">
        <v>42</v>
      </c>
      <c r="B9">
        <v>384.2</v>
      </c>
      <c r="C9">
        <v>0.33097345132743361</v>
      </c>
      <c r="D9">
        <v>0.33097345132743361</v>
      </c>
      <c r="E9">
        <v>1</v>
      </c>
      <c r="F9">
        <v>1536.8</v>
      </c>
      <c r="G9">
        <v>4.0999999999999996</v>
      </c>
      <c r="H9">
        <v>0.33097345132743361</v>
      </c>
      <c r="I9">
        <v>384.2</v>
      </c>
      <c r="J9">
        <v>697.73846153846159</v>
      </c>
      <c r="K9">
        <v>0.29198068484995482</v>
      </c>
      <c r="L9">
        <v>1.454806081869374</v>
      </c>
      <c r="M9">
        <v>5</v>
      </c>
      <c r="N9">
        <v>9070.6</v>
      </c>
      <c r="O9">
        <v>23.700000000000003</v>
      </c>
      <c r="P9">
        <v>0.29198068484995482</v>
      </c>
      <c r="Q9">
        <v>697.73846153846159</v>
      </c>
      <c r="R9">
        <v>970.90384615384619</v>
      </c>
      <c r="S9">
        <v>0.32871115336621309</v>
      </c>
      <c r="T9">
        <v>1.2914818625483195</v>
      </c>
      <c r="U9">
        <v>4</v>
      </c>
      <c r="V9">
        <v>12621.75</v>
      </c>
      <c r="W9">
        <v>14.4</v>
      </c>
      <c r="X9">
        <v>0.32871115336621309</v>
      </c>
      <c r="Y9">
        <v>970.90384615384619</v>
      </c>
      <c r="Z9">
        <v>774.30499999999995</v>
      </c>
      <c r="AA9">
        <v>0.31451818082021943</v>
      </c>
      <c r="AB9">
        <v>3.0772613957451269</v>
      </c>
      <c r="AC9">
        <v>10</v>
      </c>
      <c r="AD9">
        <v>23229.149999999998</v>
      </c>
      <c r="AE9">
        <v>42.2</v>
      </c>
      <c r="AF9">
        <v>0.31451818082021943</v>
      </c>
      <c r="AG9">
        <v>774.30499999999995</v>
      </c>
      <c r="AH9">
        <v>774.30499999999995</v>
      </c>
      <c r="AI9">
        <v>0.31451818082021943</v>
      </c>
      <c r="AJ9">
        <v>3.0772613957451269</v>
      </c>
      <c r="AK9">
        <v>10</v>
      </c>
      <c r="AL9">
        <v>23229.149999999998</v>
      </c>
      <c r="AM9">
        <v>42.2</v>
      </c>
      <c r="AN9">
        <v>0.31451818082021943</v>
      </c>
      <c r="AO9">
        <v>774.30499999999995</v>
      </c>
    </row>
    <row r="10" spans="1:41" x14ac:dyDescent="0.25">
      <c r="A10" s="10" t="s">
        <v>29</v>
      </c>
      <c r="B10" t="e">
        <v>#DIV/0!</v>
      </c>
      <c r="C10" t="e">
        <v>#DIV/0!</v>
      </c>
      <c r="H10" t="e">
        <v>#DIV/0!</v>
      </c>
      <c r="I10" t="e">
        <v>#DIV/0!</v>
      </c>
      <c r="J10">
        <v>1069.2</v>
      </c>
      <c r="K10">
        <v>0.31878507295173963</v>
      </c>
      <c r="L10">
        <v>0.31878507295173963</v>
      </c>
      <c r="M10">
        <v>1</v>
      </c>
      <c r="N10">
        <v>2138.4</v>
      </c>
      <c r="O10">
        <v>4.7</v>
      </c>
      <c r="P10">
        <v>0.31878507295173963</v>
      </c>
      <c r="Q10">
        <v>1069.2</v>
      </c>
      <c r="R10">
        <v>1016.4375</v>
      </c>
      <c r="S10">
        <v>0.3625333579290414</v>
      </c>
      <c r="T10">
        <v>0.68279081781125406</v>
      </c>
      <c r="U10">
        <v>2</v>
      </c>
      <c r="V10">
        <v>4065.75</v>
      </c>
      <c r="W10">
        <v>7</v>
      </c>
      <c r="X10">
        <v>0.3625333579290414</v>
      </c>
      <c r="Y10">
        <v>1016.4375</v>
      </c>
      <c r="Z10">
        <v>1034.0249999999999</v>
      </c>
      <c r="AA10">
        <v>0.34745452640571239</v>
      </c>
      <c r="AB10">
        <v>1.0015758907629937</v>
      </c>
      <c r="AC10">
        <v>3</v>
      </c>
      <c r="AD10">
        <v>6204.15</v>
      </c>
      <c r="AE10">
        <v>11.7</v>
      </c>
      <c r="AF10">
        <v>0.34745452640571239</v>
      </c>
      <c r="AG10">
        <v>1034.0249999999999</v>
      </c>
      <c r="AH10">
        <v>1034.0249999999999</v>
      </c>
      <c r="AI10">
        <v>0.34745452640571239</v>
      </c>
      <c r="AJ10">
        <v>1.0015758907629937</v>
      </c>
      <c r="AK10">
        <v>3</v>
      </c>
      <c r="AL10">
        <v>6204.15</v>
      </c>
      <c r="AM10">
        <v>11.7</v>
      </c>
      <c r="AN10">
        <v>0.34745452640571239</v>
      </c>
      <c r="AO10">
        <v>1034.0249999999999</v>
      </c>
    </row>
    <row r="11" spans="1:41" x14ac:dyDescent="0.25">
      <c r="A11" s="10" t="s">
        <v>45</v>
      </c>
      <c r="B11" t="e">
        <v>#DIV/0!</v>
      </c>
      <c r="C11" t="e">
        <v>#DIV/0!</v>
      </c>
      <c r="H11" t="e">
        <v>#DIV/0!</v>
      </c>
      <c r="I11" t="e">
        <v>#DIV/0!</v>
      </c>
      <c r="J11">
        <v>754.30714285714282</v>
      </c>
      <c r="K11">
        <v>0.28420025946232585</v>
      </c>
      <c r="L11">
        <v>0.5985038462658876</v>
      </c>
      <c r="M11">
        <v>2</v>
      </c>
      <c r="N11">
        <v>5280.15</v>
      </c>
      <c r="O11">
        <v>9.4</v>
      </c>
      <c r="P11">
        <v>0.28420025946232585</v>
      </c>
      <c r="Q11">
        <v>754.30714285714282</v>
      </c>
      <c r="R11">
        <v>950.66666666666663</v>
      </c>
      <c r="S11">
        <v>0.31263908368396448</v>
      </c>
      <c r="T11">
        <v>0.60869104473706526</v>
      </c>
      <c r="U11">
        <v>2</v>
      </c>
      <c r="V11">
        <v>8556</v>
      </c>
      <c r="W11">
        <v>7.4</v>
      </c>
      <c r="X11">
        <v>0.31263908368396448</v>
      </c>
      <c r="Y11">
        <v>950.66666666666663</v>
      </c>
      <c r="Z11">
        <v>864.75937499999998</v>
      </c>
      <c r="AA11">
        <v>0.30178626279709309</v>
      </c>
      <c r="AB11">
        <v>1.2071948910029531</v>
      </c>
      <c r="AC11">
        <v>4</v>
      </c>
      <c r="AD11">
        <v>13836.15</v>
      </c>
      <c r="AE11">
        <v>16.8</v>
      </c>
      <c r="AF11">
        <v>0.30178626279709309</v>
      </c>
      <c r="AG11">
        <v>864.75937499999998</v>
      </c>
      <c r="AH11">
        <v>864.75937499999998</v>
      </c>
      <c r="AI11">
        <v>0.30178626279709309</v>
      </c>
      <c r="AJ11">
        <v>1.2071948910029531</v>
      </c>
      <c r="AK11">
        <v>4</v>
      </c>
      <c r="AL11">
        <v>13836.15</v>
      </c>
      <c r="AM11">
        <v>16.8</v>
      </c>
      <c r="AN11">
        <v>0.30178626279709309</v>
      </c>
      <c r="AO11">
        <v>864.75937499999998</v>
      </c>
    </row>
    <row r="12" spans="1:41" x14ac:dyDescent="0.25">
      <c r="A12" s="10" t="s">
        <v>24</v>
      </c>
      <c r="B12">
        <v>384.2</v>
      </c>
      <c r="C12">
        <v>0.33097345132743361</v>
      </c>
      <c r="D12">
        <v>0.33097345132743361</v>
      </c>
      <c r="E12">
        <v>1</v>
      </c>
      <c r="F12">
        <v>1536.8</v>
      </c>
      <c r="G12">
        <v>4.0999999999999996</v>
      </c>
      <c r="H12">
        <v>0.33097345132743361</v>
      </c>
      <c r="I12">
        <v>384.2</v>
      </c>
      <c r="J12">
        <v>413.01249999999999</v>
      </c>
      <c r="K12">
        <v>0.2821524772252656</v>
      </c>
      <c r="L12">
        <v>0.53751716265174687</v>
      </c>
      <c r="M12">
        <v>2</v>
      </c>
      <c r="N12">
        <v>1652.05</v>
      </c>
      <c r="O12">
        <v>9.6</v>
      </c>
      <c r="P12">
        <v>0.2821524772252656</v>
      </c>
      <c r="Q12">
        <v>413.01249999999999</v>
      </c>
      <c r="R12" t="e">
        <v>#DIV/0!</v>
      </c>
      <c r="S12" t="e">
        <v>#DIV/0!</v>
      </c>
      <c r="X12" t="e">
        <v>#DIV/0!</v>
      </c>
      <c r="Y12" t="e">
        <v>#DIV/0!</v>
      </c>
      <c r="Z12">
        <v>398.60624999999999</v>
      </c>
      <c r="AA12">
        <v>0.3056807312981169</v>
      </c>
      <c r="AB12">
        <v>0.86849061397918037</v>
      </c>
      <c r="AC12">
        <v>3</v>
      </c>
      <c r="AD12">
        <v>3188.85</v>
      </c>
      <c r="AE12">
        <v>13.7</v>
      </c>
      <c r="AF12">
        <v>0.3056807312981169</v>
      </c>
      <c r="AG12">
        <v>398.60624999999999</v>
      </c>
      <c r="AH12">
        <v>398.60624999999999</v>
      </c>
      <c r="AI12">
        <v>0.3056807312981169</v>
      </c>
      <c r="AJ12">
        <v>0.86849061397918037</v>
      </c>
      <c r="AK12">
        <v>3</v>
      </c>
      <c r="AL12">
        <v>3188.85</v>
      </c>
      <c r="AM12">
        <v>13.7</v>
      </c>
      <c r="AN12">
        <v>0.3056807312981169</v>
      </c>
      <c r="AO12">
        <v>398.60624999999999</v>
      </c>
    </row>
    <row r="13" spans="1:41" x14ac:dyDescent="0.25">
      <c r="A13" s="9" t="s">
        <v>23</v>
      </c>
      <c r="B13">
        <v>1020.5999999999999</v>
      </c>
      <c r="C13">
        <v>0.33726239466980212</v>
      </c>
      <c r="D13">
        <v>0.60279053421978102</v>
      </c>
      <c r="E13">
        <v>2</v>
      </c>
      <c r="F13">
        <v>3061.7999999999997</v>
      </c>
      <c r="G13">
        <v>8.6</v>
      </c>
      <c r="H13">
        <v>0.33726239466980212</v>
      </c>
      <c r="I13">
        <v>1020.5999999999999</v>
      </c>
      <c r="J13">
        <v>702.6</v>
      </c>
      <c r="K13">
        <v>0.35840144768411208</v>
      </c>
      <c r="L13">
        <v>0.71788824562686604</v>
      </c>
      <c r="M13">
        <v>2</v>
      </c>
      <c r="N13">
        <v>4918.2</v>
      </c>
      <c r="O13">
        <v>9.6999999999999993</v>
      </c>
      <c r="P13">
        <v>0.35840144768411208</v>
      </c>
      <c r="Q13">
        <v>702.6</v>
      </c>
      <c r="R13">
        <v>973.7833333333333</v>
      </c>
      <c r="S13">
        <v>0.33408469828446896</v>
      </c>
      <c r="T13">
        <v>1.6687245712367975</v>
      </c>
      <c r="U13">
        <v>5</v>
      </c>
      <c r="V13">
        <v>17528.099999999999</v>
      </c>
      <c r="W13">
        <v>18.599999999999998</v>
      </c>
      <c r="X13">
        <v>0.33408469828446896</v>
      </c>
      <c r="Y13">
        <v>973.7833333333333</v>
      </c>
      <c r="Z13">
        <v>911.00357142857149</v>
      </c>
      <c r="AA13">
        <v>0.3391546214731791</v>
      </c>
      <c r="AB13">
        <v>2.9894033510834448</v>
      </c>
      <c r="AC13">
        <v>9</v>
      </c>
      <c r="AD13">
        <v>25508.100000000002</v>
      </c>
      <c r="AE13">
        <v>36.9</v>
      </c>
      <c r="AF13">
        <v>0.3391546214731791</v>
      </c>
      <c r="AG13">
        <v>911.00357142857149</v>
      </c>
      <c r="AH13">
        <v>911.00357142857149</v>
      </c>
      <c r="AI13">
        <v>0.3391546214731791</v>
      </c>
      <c r="AJ13">
        <v>2.9894033510834448</v>
      </c>
      <c r="AK13">
        <v>9</v>
      </c>
      <c r="AL13">
        <v>25508.100000000002</v>
      </c>
      <c r="AM13">
        <v>36.9</v>
      </c>
      <c r="AN13">
        <v>0.3391546214731791</v>
      </c>
      <c r="AO13">
        <v>911.00357142857149</v>
      </c>
    </row>
    <row r="14" spans="1:41" x14ac:dyDescent="0.25">
      <c r="A14" s="10" t="s">
        <v>29</v>
      </c>
      <c r="B14">
        <v>1052.0999999999999</v>
      </c>
      <c r="C14">
        <v>0.39717232202262148</v>
      </c>
      <c r="D14">
        <v>0.39717232202262148</v>
      </c>
      <c r="E14">
        <v>1</v>
      </c>
      <c r="F14">
        <v>2104.1999999999998</v>
      </c>
      <c r="G14">
        <v>4.0999999999999996</v>
      </c>
      <c r="H14">
        <v>0.39717232202262148</v>
      </c>
      <c r="I14">
        <v>1052.0999999999999</v>
      </c>
      <c r="J14">
        <v>1210</v>
      </c>
      <c r="K14">
        <v>0.35780440771349858</v>
      </c>
      <c r="L14">
        <v>0.35780440771349858</v>
      </c>
      <c r="M14">
        <v>1</v>
      </c>
      <c r="N14">
        <v>3630</v>
      </c>
      <c r="O14">
        <v>4.9000000000000004</v>
      </c>
      <c r="P14">
        <v>0.35780440771349858</v>
      </c>
      <c r="Q14">
        <v>1210</v>
      </c>
      <c r="R14">
        <v>1238.05</v>
      </c>
      <c r="S14">
        <v>0.32212430838819112</v>
      </c>
      <c r="T14">
        <v>0.95042150446802665</v>
      </c>
      <c r="U14">
        <v>3</v>
      </c>
      <c r="V14">
        <v>12380.5</v>
      </c>
      <c r="W14">
        <v>10.9</v>
      </c>
      <c r="X14">
        <v>0.32212430838819112</v>
      </c>
      <c r="Y14">
        <v>1238.05</v>
      </c>
      <c r="Z14">
        <v>1207.6466666666668</v>
      </c>
      <c r="AA14">
        <v>0.33799179671758295</v>
      </c>
      <c r="AB14">
        <v>1.7053982342041467</v>
      </c>
      <c r="AC14">
        <v>5</v>
      </c>
      <c r="AD14">
        <v>18114.7</v>
      </c>
      <c r="AE14">
        <v>19.899999999999999</v>
      </c>
      <c r="AF14">
        <v>0.33799179671758295</v>
      </c>
      <c r="AG14">
        <v>1207.6466666666668</v>
      </c>
      <c r="AH14">
        <v>1207.6466666666668</v>
      </c>
      <c r="AI14">
        <v>0.33799179671758295</v>
      </c>
      <c r="AJ14">
        <v>1.7053982342041467</v>
      </c>
      <c r="AK14">
        <v>5</v>
      </c>
      <c r="AL14">
        <v>18114.7</v>
      </c>
      <c r="AM14">
        <v>19.899999999999999</v>
      </c>
      <c r="AN14">
        <v>0.33799179671758295</v>
      </c>
      <c r="AO14">
        <v>1207.6466666666668</v>
      </c>
    </row>
    <row r="15" spans="1:41" x14ac:dyDescent="0.25">
      <c r="A15" s="10" t="s">
        <v>45</v>
      </c>
      <c r="B15">
        <v>957.6</v>
      </c>
      <c r="C15">
        <v>0.20561821219715956</v>
      </c>
      <c r="D15">
        <v>0.20561821219715956</v>
      </c>
      <c r="E15">
        <v>1</v>
      </c>
      <c r="F15">
        <v>957.6</v>
      </c>
      <c r="G15">
        <v>4.5</v>
      </c>
      <c r="H15">
        <v>0.20561821219715956</v>
      </c>
      <c r="I15">
        <v>957.6</v>
      </c>
      <c r="J15" t="e">
        <v>#DIV/0!</v>
      </c>
      <c r="K15" t="e">
        <v>#DIV/0!</v>
      </c>
      <c r="P15" t="e">
        <v>#DIV/0!</v>
      </c>
      <c r="Q15" t="e">
        <v>#DIV/0!</v>
      </c>
      <c r="R15">
        <v>747.9</v>
      </c>
      <c r="S15">
        <v>0.38193943040513434</v>
      </c>
      <c r="T15">
        <v>0.38193943040513434</v>
      </c>
      <c r="U15">
        <v>1</v>
      </c>
      <c r="V15">
        <v>2991.6</v>
      </c>
      <c r="W15">
        <v>3.8</v>
      </c>
      <c r="X15">
        <v>0.38193943040513434</v>
      </c>
      <c r="Y15">
        <v>747.9</v>
      </c>
      <c r="Z15">
        <v>789.83999999999992</v>
      </c>
      <c r="AA15">
        <v>0.33918515142307304</v>
      </c>
      <c r="AB15">
        <v>0.58755764260229393</v>
      </c>
      <c r="AC15">
        <v>2</v>
      </c>
      <c r="AD15">
        <v>3949.2</v>
      </c>
      <c r="AE15">
        <v>8.3000000000000007</v>
      </c>
      <c r="AF15">
        <v>0.33918515142307304</v>
      </c>
      <c r="AG15">
        <v>789.83999999999992</v>
      </c>
      <c r="AH15">
        <v>789.83999999999992</v>
      </c>
      <c r="AI15">
        <v>0.33918515142307304</v>
      </c>
      <c r="AJ15">
        <v>0.58755764260229393</v>
      </c>
      <c r="AK15">
        <v>2</v>
      </c>
      <c r="AL15">
        <v>3949.2</v>
      </c>
      <c r="AM15">
        <v>8.3000000000000007</v>
      </c>
      <c r="AN15">
        <v>0.33918515142307304</v>
      </c>
      <c r="AO15">
        <v>789.83999999999992</v>
      </c>
    </row>
    <row r="16" spans="1:41" x14ac:dyDescent="0.25">
      <c r="A16" s="10" t="s">
        <v>24</v>
      </c>
      <c r="B16" t="e">
        <v>#DIV/0!</v>
      </c>
      <c r="C16" t="e">
        <v>#DIV/0!</v>
      </c>
      <c r="H16" t="e">
        <v>#DIV/0!</v>
      </c>
      <c r="I16" t="e">
        <v>#DIV/0!</v>
      </c>
      <c r="J16">
        <v>322.05</v>
      </c>
      <c r="K16">
        <v>0.36008383791336751</v>
      </c>
      <c r="L16">
        <v>0.36008383791336751</v>
      </c>
      <c r="M16">
        <v>1</v>
      </c>
      <c r="N16">
        <v>1288.2</v>
      </c>
      <c r="O16">
        <v>4.8</v>
      </c>
      <c r="P16">
        <v>0.36008383791336751</v>
      </c>
      <c r="Q16">
        <v>322.05</v>
      </c>
      <c r="R16">
        <v>539</v>
      </c>
      <c r="S16">
        <v>0.33636363636363636</v>
      </c>
      <c r="T16">
        <v>0.33636363636363636</v>
      </c>
      <c r="U16">
        <v>1</v>
      </c>
      <c r="V16">
        <v>2156</v>
      </c>
      <c r="W16">
        <v>3.9</v>
      </c>
      <c r="X16">
        <v>0.33636363636363636</v>
      </c>
      <c r="Y16">
        <v>539</v>
      </c>
      <c r="Z16">
        <v>430.52499999999998</v>
      </c>
      <c r="AA16">
        <v>0.34523546832355845</v>
      </c>
      <c r="AB16">
        <v>0.69644747427700393</v>
      </c>
      <c r="AC16">
        <v>2</v>
      </c>
      <c r="AD16">
        <v>3444.2</v>
      </c>
      <c r="AE16">
        <v>8.6999999999999993</v>
      </c>
      <c r="AF16">
        <v>0.34523546832355845</v>
      </c>
      <c r="AG16">
        <v>430.52499999999998</v>
      </c>
      <c r="AH16">
        <v>430.52499999999998</v>
      </c>
      <c r="AI16">
        <v>0.34523546832355845</v>
      </c>
      <c r="AJ16">
        <v>0.69644747427700393</v>
      </c>
      <c r="AK16">
        <v>2</v>
      </c>
      <c r="AL16">
        <v>3444.2</v>
      </c>
      <c r="AM16">
        <v>8.6999999999999993</v>
      </c>
      <c r="AN16">
        <v>0.34523546832355845</v>
      </c>
      <c r="AO16">
        <v>430.52499999999998</v>
      </c>
    </row>
    <row r="17" spans="1:41" x14ac:dyDescent="0.25">
      <c r="A17" s="9" t="s">
        <v>33</v>
      </c>
      <c r="B17">
        <v>1114</v>
      </c>
      <c r="C17">
        <v>0.35182675044883305</v>
      </c>
      <c r="D17">
        <v>0.35182675044883305</v>
      </c>
      <c r="E17">
        <v>1</v>
      </c>
      <c r="F17">
        <v>2228</v>
      </c>
      <c r="G17">
        <v>4.0999999999999996</v>
      </c>
      <c r="H17">
        <v>0.35182675044883305</v>
      </c>
      <c r="I17">
        <v>1114</v>
      </c>
      <c r="J17" t="e">
        <v>#DIV/0!</v>
      </c>
      <c r="K17" t="e">
        <v>#DIV/0!</v>
      </c>
      <c r="P17" t="e">
        <v>#DIV/0!</v>
      </c>
      <c r="Q17" t="e">
        <v>#DIV/0!</v>
      </c>
      <c r="R17">
        <v>731.0333333333333</v>
      </c>
      <c r="S17">
        <v>0.29066618029273633</v>
      </c>
      <c r="T17">
        <v>0.58090711486420266</v>
      </c>
      <c r="U17">
        <v>2</v>
      </c>
      <c r="V17">
        <v>6579.3</v>
      </c>
      <c r="W17">
        <v>7.8</v>
      </c>
      <c r="X17">
        <v>0.29066618029273633</v>
      </c>
      <c r="Y17">
        <v>731.0333333333333</v>
      </c>
      <c r="Z17">
        <v>800.66363636363633</v>
      </c>
      <c r="AA17">
        <v>0.3061380899935281</v>
      </c>
      <c r="AB17">
        <v>0.9327338653130357</v>
      </c>
      <c r="AC17">
        <v>3</v>
      </c>
      <c r="AD17">
        <v>8807.2999999999993</v>
      </c>
      <c r="AE17">
        <v>11.899999999999999</v>
      </c>
      <c r="AF17">
        <v>0.3061380899935281</v>
      </c>
      <c r="AG17">
        <v>800.66363636363633</v>
      </c>
      <c r="AH17">
        <v>800.66363636363633</v>
      </c>
      <c r="AI17">
        <v>0.3061380899935281</v>
      </c>
      <c r="AJ17">
        <v>0.9327338653130357</v>
      </c>
      <c r="AK17">
        <v>3</v>
      </c>
      <c r="AL17">
        <v>8807.2999999999993</v>
      </c>
      <c r="AM17">
        <v>11.899999999999999</v>
      </c>
      <c r="AN17">
        <v>0.3061380899935281</v>
      </c>
      <c r="AO17">
        <v>800.66363636363633</v>
      </c>
    </row>
    <row r="18" spans="1:41" x14ac:dyDescent="0.25">
      <c r="A18" s="10" t="s">
        <v>29</v>
      </c>
      <c r="B18">
        <v>1114</v>
      </c>
      <c r="C18">
        <v>0.35182675044883305</v>
      </c>
      <c r="D18">
        <v>0.35182675044883305</v>
      </c>
      <c r="E18">
        <v>1</v>
      </c>
      <c r="F18">
        <v>2228</v>
      </c>
      <c r="G18">
        <v>4.0999999999999996</v>
      </c>
      <c r="H18">
        <v>0.35182675044883305</v>
      </c>
      <c r="I18">
        <v>1114</v>
      </c>
      <c r="J18" t="e">
        <v>#DIV/0!</v>
      </c>
      <c r="K18" t="e">
        <v>#DIV/0!</v>
      </c>
      <c r="P18" t="e">
        <v>#DIV/0!</v>
      </c>
      <c r="Q18" t="e">
        <v>#DIV/0!</v>
      </c>
      <c r="R18" t="e">
        <v>#DIV/0!</v>
      </c>
      <c r="S18" t="e">
        <v>#DIV/0!</v>
      </c>
      <c r="X18" t="e">
        <v>#DIV/0!</v>
      </c>
      <c r="Y18" t="e">
        <v>#DIV/0!</v>
      </c>
      <c r="Z18">
        <v>1114</v>
      </c>
      <c r="AA18">
        <v>0.35182675044883305</v>
      </c>
      <c r="AB18">
        <v>0.35182675044883305</v>
      </c>
      <c r="AC18">
        <v>1</v>
      </c>
      <c r="AD18">
        <v>2228</v>
      </c>
      <c r="AE18">
        <v>4.0999999999999996</v>
      </c>
      <c r="AF18">
        <v>0.35182675044883305</v>
      </c>
      <c r="AG18">
        <v>1114</v>
      </c>
      <c r="AH18">
        <v>1114</v>
      </c>
      <c r="AI18">
        <v>0.35182675044883305</v>
      </c>
      <c r="AJ18">
        <v>0.35182675044883305</v>
      </c>
      <c r="AK18">
        <v>1</v>
      </c>
      <c r="AL18">
        <v>2228</v>
      </c>
      <c r="AM18">
        <v>4.0999999999999996</v>
      </c>
      <c r="AN18">
        <v>0.35182675044883305</v>
      </c>
      <c r="AO18">
        <v>1114</v>
      </c>
    </row>
    <row r="19" spans="1:41" x14ac:dyDescent="0.25">
      <c r="A19" s="10" t="s">
        <v>24</v>
      </c>
      <c r="B19" t="e">
        <v>#DIV/0!</v>
      </c>
      <c r="C19" t="e">
        <v>#DIV/0!</v>
      </c>
      <c r="H19" t="e">
        <v>#DIV/0!</v>
      </c>
      <c r="I19" t="e">
        <v>#DIV/0!</v>
      </c>
      <c r="J19" t="e">
        <v>#DIV/0!</v>
      </c>
      <c r="K19" t="e">
        <v>#DIV/0!</v>
      </c>
      <c r="P19" t="e">
        <v>#DIV/0!</v>
      </c>
      <c r="Q19" t="e">
        <v>#DIV/0!</v>
      </c>
      <c r="R19">
        <v>731.0333333333333</v>
      </c>
      <c r="S19">
        <v>0.29066618029273633</v>
      </c>
      <c r="T19">
        <v>0.58090711486420266</v>
      </c>
      <c r="U19">
        <v>2</v>
      </c>
      <c r="V19">
        <v>6579.3</v>
      </c>
      <c r="W19">
        <v>7.8</v>
      </c>
      <c r="X19">
        <v>0.29066618029273633</v>
      </c>
      <c r="Y19">
        <v>731.0333333333333</v>
      </c>
      <c r="Z19">
        <v>731.0333333333333</v>
      </c>
      <c r="AA19">
        <v>0.29066618029273633</v>
      </c>
      <c r="AB19">
        <v>0.58090711486420266</v>
      </c>
      <c r="AC19">
        <v>2</v>
      </c>
      <c r="AD19">
        <v>6579.3</v>
      </c>
      <c r="AE19">
        <v>7.8</v>
      </c>
      <c r="AF19">
        <v>0.29066618029273633</v>
      </c>
      <c r="AG19">
        <v>731.0333333333333</v>
      </c>
      <c r="AH19">
        <v>731.0333333333333</v>
      </c>
      <c r="AI19">
        <v>0.29066618029273633</v>
      </c>
      <c r="AJ19">
        <v>0.58090711486420266</v>
      </c>
      <c r="AK19">
        <v>2</v>
      </c>
      <c r="AL19">
        <v>6579.3</v>
      </c>
      <c r="AM19">
        <v>7.8</v>
      </c>
      <c r="AN19">
        <v>0.29066618029273633</v>
      </c>
      <c r="AO19">
        <v>731.0333333333333</v>
      </c>
    </row>
    <row r="20" spans="1:41" x14ac:dyDescent="0.25">
      <c r="A20" s="5" t="s">
        <v>22</v>
      </c>
      <c r="B20">
        <v>1136.4656249999998</v>
      </c>
      <c r="C20">
        <v>0.28034613893403071</v>
      </c>
      <c r="D20">
        <v>1.6834015192988374</v>
      </c>
      <c r="E20">
        <v>6</v>
      </c>
      <c r="F20">
        <v>18183.449999999997</v>
      </c>
      <c r="G20">
        <v>25.9</v>
      </c>
      <c r="H20">
        <v>0.28034613893403071</v>
      </c>
      <c r="I20">
        <v>1136.4656249999998</v>
      </c>
      <c r="J20">
        <v>770.87</v>
      </c>
      <c r="K20">
        <v>0.2573585688896961</v>
      </c>
      <c r="L20">
        <v>1.5520956762973206</v>
      </c>
      <c r="M20">
        <v>6</v>
      </c>
      <c r="N20">
        <v>11563.05</v>
      </c>
      <c r="O20">
        <v>29</v>
      </c>
      <c r="P20">
        <v>0.2573585688896961</v>
      </c>
      <c r="Q20">
        <v>770.87</v>
      </c>
      <c r="R20">
        <v>817.58333333333337</v>
      </c>
      <c r="S20">
        <v>0.28752770214191065</v>
      </c>
      <c r="T20">
        <v>4.1799818322910429</v>
      </c>
      <c r="U20">
        <v>14</v>
      </c>
      <c r="V20">
        <v>34338.5</v>
      </c>
      <c r="W20">
        <v>49.800000000000004</v>
      </c>
      <c r="X20">
        <v>0.28752770214191065</v>
      </c>
      <c r="Y20">
        <v>817.58333333333337</v>
      </c>
      <c r="Z20">
        <v>877.87671232876721</v>
      </c>
      <c r="AA20">
        <v>0.28004650074120302</v>
      </c>
      <c r="AB20">
        <v>7.4154790278871996</v>
      </c>
      <c r="AC20">
        <v>26</v>
      </c>
      <c r="AD20">
        <v>64085.000000000007</v>
      </c>
      <c r="AE20">
        <v>104.69999999999999</v>
      </c>
      <c r="AF20">
        <v>0.28004650074120302</v>
      </c>
      <c r="AG20">
        <v>877.87671232876721</v>
      </c>
      <c r="AH20">
        <v>877.87671232876721</v>
      </c>
      <c r="AI20">
        <v>0.28004650074120302</v>
      </c>
      <c r="AJ20">
        <v>7.4154790278871996</v>
      </c>
      <c r="AK20">
        <v>26</v>
      </c>
      <c r="AL20">
        <v>64085.000000000007</v>
      </c>
      <c r="AM20">
        <v>104.69999999999999</v>
      </c>
      <c r="AN20">
        <v>0.28004650074120302</v>
      </c>
      <c r="AO20">
        <v>877.87671232876721</v>
      </c>
    </row>
    <row r="21" spans="1:41" x14ac:dyDescent="0.25">
      <c r="A21" s="9" t="s">
        <v>42</v>
      </c>
      <c r="B21">
        <v>1225.8</v>
      </c>
      <c r="C21">
        <v>0.29446483928862782</v>
      </c>
      <c r="D21">
        <v>0.29446483928862782</v>
      </c>
      <c r="E21">
        <v>1</v>
      </c>
      <c r="F21">
        <v>2451.6</v>
      </c>
      <c r="G21">
        <v>4.2</v>
      </c>
      <c r="H21">
        <v>0.29446483928862782</v>
      </c>
      <c r="I21">
        <v>1225.8</v>
      </c>
      <c r="J21">
        <v>1027.1937499999999</v>
      </c>
      <c r="K21">
        <v>0.24601128073452549</v>
      </c>
      <c r="L21">
        <v>0.69866783205186878</v>
      </c>
      <c r="M21">
        <v>3</v>
      </c>
      <c r="N21">
        <v>8217.5499999999993</v>
      </c>
      <c r="O21">
        <v>14.7</v>
      </c>
      <c r="P21">
        <v>0.24601128073452549</v>
      </c>
      <c r="Q21">
        <v>1027.1937499999999</v>
      </c>
      <c r="R21">
        <v>779.82499999999993</v>
      </c>
      <c r="S21">
        <v>0.29567851761613179</v>
      </c>
      <c r="T21">
        <v>2.1282334280188273</v>
      </c>
      <c r="U21">
        <v>7</v>
      </c>
      <c r="V21">
        <v>15596.499999999998</v>
      </c>
      <c r="W21">
        <v>24.5</v>
      </c>
      <c r="X21">
        <v>0.29567851761613179</v>
      </c>
      <c r="Y21">
        <v>779.82499999999993</v>
      </c>
      <c r="Z21">
        <v>875.52166666666676</v>
      </c>
      <c r="AA21">
        <v>0.28002619390725142</v>
      </c>
      <c r="AB21">
        <v>3.121366099359324</v>
      </c>
      <c r="AC21">
        <v>11</v>
      </c>
      <c r="AD21">
        <v>26265.65</v>
      </c>
      <c r="AE21">
        <v>43.400000000000006</v>
      </c>
      <c r="AF21">
        <v>0.28002619390725142</v>
      </c>
      <c r="AG21">
        <v>875.52166666666676</v>
      </c>
      <c r="AH21">
        <v>875.52166666666676</v>
      </c>
      <c r="AI21">
        <v>0.28002619390725142</v>
      </c>
      <c r="AJ21">
        <v>3.121366099359324</v>
      </c>
      <c r="AK21">
        <v>11</v>
      </c>
      <c r="AL21">
        <v>26265.65</v>
      </c>
      <c r="AM21">
        <v>43.400000000000006</v>
      </c>
      <c r="AN21">
        <v>0.28002619390725142</v>
      </c>
      <c r="AO21">
        <v>875.52166666666676</v>
      </c>
    </row>
    <row r="22" spans="1:41" x14ac:dyDescent="0.25">
      <c r="A22" s="10" t="s">
        <v>29</v>
      </c>
      <c r="B22">
        <v>1225.8</v>
      </c>
      <c r="C22">
        <v>0.29446483928862782</v>
      </c>
      <c r="D22">
        <v>0.29446483928862782</v>
      </c>
      <c r="E22">
        <v>1</v>
      </c>
      <c r="F22">
        <v>2451.6</v>
      </c>
      <c r="G22">
        <v>4.2</v>
      </c>
      <c r="H22">
        <v>0.29446483928862782</v>
      </c>
      <c r="I22">
        <v>1225.8</v>
      </c>
      <c r="J22">
        <v>1122.8500000000001</v>
      </c>
      <c r="K22">
        <v>0.23305576583396415</v>
      </c>
      <c r="L22">
        <v>0.23305576583396415</v>
      </c>
      <c r="M22">
        <v>1</v>
      </c>
      <c r="N22">
        <v>3368.55</v>
      </c>
      <c r="O22">
        <v>5</v>
      </c>
      <c r="P22">
        <v>0.23305576583396415</v>
      </c>
      <c r="Q22">
        <v>1122.8500000000001</v>
      </c>
      <c r="R22">
        <v>1120.4499999999998</v>
      </c>
      <c r="S22">
        <v>0.35481279842920255</v>
      </c>
      <c r="T22">
        <v>0.70898832811451096</v>
      </c>
      <c r="U22">
        <v>2</v>
      </c>
      <c r="V22">
        <v>4481.7999999999993</v>
      </c>
      <c r="W22">
        <v>7.8</v>
      </c>
      <c r="X22">
        <v>0.35481279842920255</v>
      </c>
      <c r="Y22">
        <v>1120.4499999999998</v>
      </c>
      <c r="Z22">
        <v>1144.6611111111113</v>
      </c>
      <c r="AA22">
        <v>0.3006391993748756</v>
      </c>
      <c r="AB22">
        <v>1.2365089332371029</v>
      </c>
      <c r="AC22">
        <v>4</v>
      </c>
      <c r="AD22">
        <v>10301.950000000001</v>
      </c>
      <c r="AE22">
        <v>17</v>
      </c>
      <c r="AF22">
        <v>0.3006391993748756</v>
      </c>
      <c r="AG22">
        <v>1144.6611111111113</v>
      </c>
      <c r="AH22">
        <v>1144.6611111111113</v>
      </c>
      <c r="AI22">
        <v>0.3006391993748756</v>
      </c>
      <c r="AJ22">
        <v>1.2365089332371029</v>
      </c>
      <c r="AK22">
        <v>4</v>
      </c>
      <c r="AL22">
        <v>10301.950000000001</v>
      </c>
      <c r="AM22">
        <v>17</v>
      </c>
      <c r="AN22">
        <v>0.3006391993748756</v>
      </c>
      <c r="AO22">
        <v>1144.6611111111113</v>
      </c>
    </row>
    <row r="23" spans="1:41" x14ac:dyDescent="0.25">
      <c r="A23" s="10" t="s">
        <v>45</v>
      </c>
      <c r="B23" t="e">
        <v>#DIV/0!</v>
      </c>
      <c r="C23" t="e">
        <v>#DIV/0!</v>
      </c>
      <c r="H23" t="e">
        <v>#DIV/0!</v>
      </c>
      <c r="I23" t="e">
        <v>#DIV/0!</v>
      </c>
      <c r="J23">
        <v>1020</v>
      </c>
      <c r="K23">
        <v>0.26532598039215688</v>
      </c>
      <c r="L23">
        <v>0.26532598039215688</v>
      </c>
      <c r="M23">
        <v>1</v>
      </c>
      <c r="N23">
        <v>4080</v>
      </c>
      <c r="O23">
        <v>5</v>
      </c>
      <c r="P23">
        <v>0.26532598039215688</v>
      </c>
      <c r="Q23">
        <v>1020</v>
      </c>
      <c r="R23">
        <v>740.9</v>
      </c>
      <c r="S23">
        <v>0.25637850362172132</v>
      </c>
      <c r="T23">
        <v>0.79712474014282697</v>
      </c>
      <c r="U23">
        <v>3</v>
      </c>
      <c r="V23">
        <v>8890.7999999999993</v>
      </c>
      <c r="W23">
        <v>10.199999999999999</v>
      </c>
      <c r="X23">
        <v>0.25637850362172132</v>
      </c>
      <c r="Y23">
        <v>740.9</v>
      </c>
      <c r="Z23">
        <v>810.67499999999995</v>
      </c>
      <c r="AA23">
        <v>0.25919295648687818</v>
      </c>
      <c r="AB23">
        <v>1.0624507205349838</v>
      </c>
      <c r="AC23">
        <v>4</v>
      </c>
      <c r="AD23">
        <v>12970.8</v>
      </c>
      <c r="AE23">
        <v>15.2</v>
      </c>
      <c r="AF23">
        <v>0.25919295648687818</v>
      </c>
      <c r="AG23">
        <v>810.67499999999995</v>
      </c>
      <c r="AH23">
        <v>810.67499999999995</v>
      </c>
      <c r="AI23">
        <v>0.25919295648687818</v>
      </c>
      <c r="AJ23">
        <v>1.0624507205349838</v>
      </c>
      <c r="AK23">
        <v>4</v>
      </c>
      <c r="AL23">
        <v>12970.8</v>
      </c>
      <c r="AM23">
        <v>15.2</v>
      </c>
      <c r="AN23">
        <v>0.25919295648687818</v>
      </c>
      <c r="AO23">
        <v>810.67499999999995</v>
      </c>
    </row>
    <row r="24" spans="1:41" x14ac:dyDescent="0.25">
      <c r="A24" s="10" t="s">
        <v>24</v>
      </c>
      <c r="B24" t="e">
        <v>#DIV/0!</v>
      </c>
      <c r="C24" t="e">
        <v>#DIV/0!</v>
      </c>
      <c r="H24" t="e">
        <v>#DIV/0!</v>
      </c>
      <c r="I24" t="e">
        <v>#DIV/0!</v>
      </c>
      <c r="J24">
        <v>769</v>
      </c>
      <c r="K24">
        <v>0.20028608582574775</v>
      </c>
      <c r="L24">
        <v>0.20028608582574775</v>
      </c>
      <c r="M24">
        <v>1</v>
      </c>
      <c r="N24">
        <v>769</v>
      </c>
      <c r="O24">
        <v>4.7</v>
      </c>
      <c r="P24">
        <v>0.20028608582574775</v>
      </c>
      <c r="Q24">
        <v>769</v>
      </c>
      <c r="R24">
        <v>555.97500000000002</v>
      </c>
      <c r="S24">
        <v>0.33362111605737671</v>
      </c>
      <c r="T24">
        <v>0.62212035976148949</v>
      </c>
      <c r="U24">
        <v>2</v>
      </c>
      <c r="V24">
        <v>2223.9</v>
      </c>
      <c r="W24">
        <v>6.5</v>
      </c>
      <c r="X24">
        <v>0.33362111605737671</v>
      </c>
      <c r="Y24">
        <v>555.97500000000002</v>
      </c>
      <c r="Z24">
        <v>598.58000000000004</v>
      </c>
      <c r="AA24">
        <v>0.29936182298105518</v>
      </c>
      <c r="AB24">
        <v>0.8224064455872373</v>
      </c>
      <c r="AC24">
        <v>3</v>
      </c>
      <c r="AD24">
        <v>2992.9</v>
      </c>
      <c r="AE24">
        <v>11.2</v>
      </c>
      <c r="AF24">
        <v>0.29936182298105518</v>
      </c>
      <c r="AG24">
        <v>598.58000000000004</v>
      </c>
      <c r="AH24">
        <v>598.58000000000004</v>
      </c>
      <c r="AI24">
        <v>0.29936182298105518</v>
      </c>
      <c r="AJ24">
        <v>0.8224064455872373</v>
      </c>
      <c r="AK24">
        <v>3</v>
      </c>
      <c r="AL24">
        <v>2992.9</v>
      </c>
      <c r="AM24">
        <v>11.2</v>
      </c>
      <c r="AN24">
        <v>0.29936182298105518</v>
      </c>
      <c r="AO24">
        <v>598.58000000000004</v>
      </c>
    </row>
    <row r="25" spans="1:41" x14ac:dyDescent="0.25">
      <c r="A25" s="9" t="s">
        <v>23</v>
      </c>
      <c r="B25">
        <v>1178.585</v>
      </c>
      <c r="C25">
        <v>0.27783486129553658</v>
      </c>
      <c r="D25">
        <v>0.81592071743458217</v>
      </c>
      <c r="E25">
        <v>3</v>
      </c>
      <c r="F25">
        <v>11785.85</v>
      </c>
      <c r="G25">
        <v>13.3</v>
      </c>
      <c r="H25">
        <v>0.27783486129553658</v>
      </c>
      <c r="I25">
        <v>1178.585</v>
      </c>
      <c r="J25">
        <v>528</v>
      </c>
      <c r="K25">
        <v>0.2646590909090909</v>
      </c>
      <c r="L25">
        <v>0.2646590909090909</v>
      </c>
      <c r="M25">
        <v>1</v>
      </c>
      <c r="N25">
        <v>1056</v>
      </c>
      <c r="O25">
        <v>4.8</v>
      </c>
      <c r="P25">
        <v>0.2646590909090909</v>
      </c>
      <c r="Q25">
        <v>528</v>
      </c>
      <c r="R25">
        <v>665.625</v>
      </c>
      <c r="S25">
        <v>0.31750234741784034</v>
      </c>
      <c r="T25">
        <v>0.63574491134222932</v>
      </c>
      <c r="U25">
        <v>2</v>
      </c>
      <c r="V25">
        <v>2662.5</v>
      </c>
      <c r="W25">
        <v>7.7</v>
      </c>
      <c r="X25">
        <v>0.31750234741784034</v>
      </c>
      <c r="Y25">
        <v>665.625</v>
      </c>
      <c r="Z25">
        <v>969.02187500000002</v>
      </c>
      <c r="AA25">
        <v>0.28374939936211452</v>
      </c>
      <c r="AB25">
        <v>1.7163247196859022</v>
      </c>
      <c r="AC25">
        <v>6</v>
      </c>
      <c r="AD25">
        <v>15504.35</v>
      </c>
      <c r="AE25">
        <v>25.8</v>
      </c>
      <c r="AF25">
        <v>0.28374939936211452</v>
      </c>
      <c r="AG25">
        <v>969.02187500000002</v>
      </c>
      <c r="AH25">
        <v>969.02187500000002</v>
      </c>
      <c r="AI25">
        <v>0.28374939936211452</v>
      </c>
      <c r="AJ25">
        <v>1.7163247196859022</v>
      </c>
      <c r="AK25">
        <v>6</v>
      </c>
      <c r="AL25">
        <v>15504.35</v>
      </c>
      <c r="AM25">
        <v>25.8</v>
      </c>
      <c r="AN25">
        <v>0.28374939936211452</v>
      </c>
      <c r="AO25">
        <v>969.02187500000002</v>
      </c>
    </row>
    <row r="26" spans="1:41" x14ac:dyDescent="0.25">
      <c r="A26" s="10" t="s">
        <v>29</v>
      </c>
      <c r="B26">
        <v>1210.4666666666667</v>
      </c>
      <c r="C26">
        <v>0.27910906721007506</v>
      </c>
      <c r="D26">
        <v>0.55365413301244337</v>
      </c>
      <c r="E26">
        <v>2</v>
      </c>
      <c r="F26">
        <v>10894.2</v>
      </c>
      <c r="G26">
        <v>8.9</v>
      </c>
      <c r="H26">
        <v>0.27910906721007506</v>
      </c>
      <c r="I26">
        <v>1210.4666666666667</v>
      </c>
      <c r="J26" t="e">
        <v>#DIV/0!</v>
      </c>
      <c r="K26" t="e">
        <v>#DIV/0!</v>
      </c>
      <c r="P26" t="e">
        <v>#DIV/0!</v>
      </c>
      <c r="Q26" t="e">
        <v>#DIV/0!</v>
      </c>
      <c r="R26">
        <v>956</v>
      </c>
      <c r="S26">
        <v>0.31702405857740584</v>
      </c>
      <c r="T26">
        <v>0.31702405857740584</v>
      </c>
      <c r="U26">
        <v>1</v>
      </c>
      <c r="V26">
        <v>1912</v>
      </c>
      <c r="W26">
        <v>3.7</v>
      </c>
      <c r="X26">
        <v>0.31702405857740584</v>
      </c>
      <c r="Y26">
        <v>956</v>
      </c>
      <c r="Z26">
        <v>1164.2</v>
      </c>
      <c r="AA26">
        <v>0.28476987709078416</v>
      </c>
      <c r="AB26">
        <v>0.87067819158984916</v>
      </c>
      <c r="AC26">
        <v>3</v>
      </c>
      <c r="AD26">
        <v>12806.2</v>
      </c>
      <c r="AE26">
        <v>12.600000000000001</v>
      </c>
      <c r="AF26">
        <v>0.28476987709078416</v>
      </c>
      <c r="AG26">
        <v>1164.2</v>
      </c>
      <c r="AH26">
        <v>1164.2</v>
      </c>
      <c r="AI26">
        <v>0.28476987709078416</v>
      </c>
      <c r="AJ26">
        <v>0.87067819158984916</v>
      </c>
      <c r="AK26">
        <v>3</v>
      </c>
      <c r="AL26">
        <v>12806.2</v>
      </c>
      <c r="AM26">
        <v>12.600000000000001</v>
      </c>
      <c r="AN26">
        <v>0.28476987709078416</v>
      </c>
      <c r="AO26">
        <v>1164.2</v>
      </c>
    </row>
    <row r="27" spans="1:41" x14ac:dyDescent="0.25">
      <c r="A27" s="10" t="s">
        <v>45</v>
      </c>
      <c r="B27">
        <v>891.65</v>
      </c>
      <c r="C27">
        <v>0.26226658442213874</v>
      </c>
      <c r="D27">
        <v>0.26226658442213874</v>
      </c>
      <c r="E27">
        <v>1</v>
      </c>
      <c r="F27">
        <v>891.65</v>
      </c>
      <c r="G27">
        <v>4.4000000000000004</v>
      </c>
      <c r="H27">
        <v>0.26226658442213874</v>
      </c>
      <c r="I27">
        <v>891.65</v>
      </c>
      <c r="J27" t="e">
        <v>#DIV/0!</v>
      </c>
      <c r="K27" t="e">
        <v>#DIV/0!</v>
      </c>
      <c r="P27" t="e">
        <v>#DIV/0!</v>
      </c>
      <c r="Q27" t="e">
        <v>#DIV/0!</v>
      </c>
      <c r="R27" t="e">
        <v>#DIV/0!</v>
      </c>
      <c r="S27" t="e">
        <v>#DIV/0!</v>
      </c>
      <c r="X27" t="e">
        <v>#DIV/0!</v>
      </c>
      <c r="Y27" t="e">
        <v>#DIV/0!</v>
      </c>
      <c r="Z27">
        <v>891.65</v>
      </c>
      <c r="AA27">
        <v>0.26226658442213874</v>
      </c>
      <c r="AB27">
        <v>0.26226658442213874</v>
      </c>
      <c r="AC27">
        <v>1</v>
      </c>
      <c r="AD27">
        <v>891.65</v>
      </c>
      <c r="AE27">
        <v>4.4000000000000004</v>
      </c>
      <c r="AF27">
        <v>0.26226658442213874</v>
      </c>
      <c r="AG27">
        <v>891.65</v>
      </c>
      <c r="AH27">
        <v>891.65</v>
      </c>
      <c r="AI27">
        <v>0.26226658442213874</v>
      </c>
      <c r="AJ27">
        <v>0.26226658442213874</v>
      </c>
      <c r="AK27">
        <v>1</v>
      </c>
      <c r="AL27">
        <v>891.65</v>
      </c>
      <c r="AM27">
        <v>4.4000000000000004</v>
      </c>
      <c r="AN27">
        <v>0.26226658442213874</v>
      </c>
      <c r="AO27">
        <v>891.65</v>
      </c>
    </row>
    <row r="28" spans="1:41" x14ac:dyDescent="0.25">
      <c r="A28" s="10" t="s">
        <v>24</v>
      </c>
      <c r="B28" t="e">
        <v>#DIV/0!</v>
      </c>
      <c r="C28" t="e">
        <v>#DIV/0!</v>
      </c>
      <c r="H28" t="e">
        <v>#DIV/0!</v>
      </c>
      <c r="I28" t="e">
        <v>#DIV/0!</v>
      </c>
      <c r="J28">
        <v>528</v>
      </c>
      <c r="K28">
        <v>0.2646590909090909</v>
      </c>
      <c r="L28">
        <v>0.2646590909090909</v>
      </c>
      <c r="M28">
        <v>1</v>
      </c>
      <c r="N28">
        <v>1056</v>
      </c>
      <c r="O28">
        <v>4.8</v>
      </c>
      <c r="P28">
        <v>0.2646590909090909</v>
      </c>
      <c r="Q28">
        <v>528</v>
      </c>
      <c r="R28">
        <v>375.25</v>
      </c>
      <c r="S28">
        <v>0.31872085276482343</v>
      </c>
      <c r="T28">
        <v>0.31872085276482343</v>
      </c>
      <c r="U28">
        <v>1</v>
      </c>
      <c r="V28">
        <v>750.5</v>
      </c>
      <c r="W28">
        <v>4</v>
      </c>
      <c r="X28">
        <v>0.31872085276482343</v>
      </c>
      <c r="Y28">
        <v>375.25</v>
      </c>
      <c r="Z28">
        <v>451.625</v>
      </c>
      <c r="AA28">
        <v>0.28711873789094938</v>
      </c>
      <c r="AB28">
        <v>0.58337994367391433</v>
      </c>
      <c r="AC28">
        <v>2</v>
      </c>
      <c r="AD28">
        <v>1806.5</v>
      </c>
      <c r="AE28">
        <v>8.8000000000000007</v>
      </c>
      <c r="AF28">
        <v>0.28711873789094938</v>
      </c>
      <c r="AG28">
        <v>451.625</v>
      </c>
      <c r="AH28">
        <v>451.625</v>
      </c>
      <c r="AI28">
        <v>0.28711873789094938</v>
      </c>
      <c r="AJ28">
        <v>0.58337994367391433</v>
      </c>
      <c r="AK28">
        <v>2</v>
      </c>
      <c r="AL28">
        <v>1806.5</v>
      </c>
      <c r="AM28">
        <v>8.8000000000000007</v>
      </c>
      <c r="AN28">
        <v>0.28711873789094938</v>
      </c>
      <c r="AO28">
        <v>451.625</v>
      </c>
    </row>
    <row r="29" spans="1:41" x14ac:dyDescent="0.25">
      <c r="A29" s="9" t="s">
        <v>33</v>
      </c>
      <c r="B29">
        <v>986.5</v>
      </c>
      <c r="C29">
        <v>0.27907501267105933</v>
      </c>
      <c r="D29">
        <v>0.57301596257562759</v>
      </c>
      <c r="E29">
        <v>2</v>
      </c>
      <c r="F29">
        <v>3946</v>
      </c>
      <c r="G29">
        <v>8.3999999999999986</v>
      </c>
      <c r="H29">
        <v>0.27907501267105933</v>
      </c>
      <c r="I29">
        <v>986.5</v>
      </c>
      <c r="J29">
        <v>457.9</v>
      </c>
      <c r="K29">
        <v>0.29471937104171214</v>
      </c>
      <c r="L29">
        <v>0.58876875333636092</v>
      </c>
      <c r="M29">
        <v>2</v>
      </c>
      <c r="N29">
        <v>2289.5</v>
      </c>
      <c r="O29">
        <v>9.5</v>
      </c>
      <c r="P29">
        <v>0.29471937104171214</v>
      </c>
      <c r="Q29">
        <v>457.9</v>
      </c>
      <c r="R29">
        <v>893.30555555555554</v>
      </c>
      <c r="S29">
        <v>0.27465841599552226</v>
      </c>
      <c r="T29">
        <v>1.4160034929299856</v>
      </c>
      <c r="U29">
        <v>5</v>
      </c>
      <c r="V29">
        <v>16079.5</v>
      </c>
      <c r="W29">
        <v>17.599999999999998</v>
      </c>
      <c r="X29">
        <v>0.27465841599552226</v>
      </c>
      <c r="Y29">
        <v>893.30555555555554</v>
      </c>
      <c r="Z29">
        <v>826.48148148148152</v>
      </c>
      <c r="AA29">
        <v>0.27749764732242882</v>
      </c>
      <c r="AB29">
        <v>2.5777882088419739</v>
      </c>
      <c r="AC29">
        <v>9</v>
      </c>
      <c r="AD29">
        <v>22315</v>
      </c>
      <c r="AE29">
        <v>35.5</v>
      </c>
      <c r="AF29">
        <v>0.27749764732242882</v>
      </c>
      <c r="AG29">
        <v>826.48148148148152</v>
      </c>
      <c r="AH29">
        <v>826.48148148148152</v>
      </c>
      <c r="AI29">
        <v>0.27749764732242882</v>
      </c>
      <c r="AJ29">
        <v>2.5777882088419739</v>
      </c>
      <c r="AK29">
        <v>9</v>
      </c>
      <c r="AL29">
        <v>22315</v>
      </c>
      <c r="AM29">
        <v>35.5</v>
      </c>
      <c r="AN29">
        <v>0.27749764732242882</v>
      </c>
      <c r="AO29">
        <v>826.48148148148152</v>
      </c>
    </row>
    <row r="30" spans="1:41" x14ac:dyDescent="0.25">
      <c r="A30" s="10" t="s">
        <v>29</v>
      </c>
      <c r="B30">
        <v>1158</v>
      </c>
      <c r="C30">
        <v>0.24375215889464594</v>
      </c>
      <c r="D30">
        <v>0.24375215889464594</v>
      </c>
      <c r="E30">
        <v>1</v>
      </c>
      <c r="F30">
        <v>2316</v>
      </c>
      <c r="G30">
        <v>4.3</v>
      </c>
      <c r="H30">
        <v>0.24375215889464594</v>
      </c>
      <c r="I30">
        <v>1158</v>
      </c>
      <c r="J30">
        <v>909.5</v>
      </c>
      <c r="K30">
        <v>0.29275426058273774</v>
      </c>
      <c r="L30">
        <v>0.29275426058273774</v>
      </c>
      <c r="M30">
        <v>1</v>
      </c>
      <c r="N30">
        <v>909.5</v>
      </c>
      <c r="O30">
        <v>4.9000000000000004</v>
      </c>
      <c r="P30">
        <v>0.29275426058273774</v>
      </c>
      <c r="Q30">
        <v>909.5</v>
      </c>
      <c r="R30">
        <v>808.45</v>
      </c>
      <c r="S30">
        <v>0.21650565897705484</v>
      </c>
      <c r="T30">
        <v>0.21650565897705484</v>
      </c>
      <c r="U30">
        <v>1</v>
      </c>
      <c r="V30">
        <v>4042.25</v>
      </c>
      <c r="W30">
        <v>3.2</v>
      </c>
      <c r="X30">
        <v>0.21650565897705484</v>
      </c>
      <c r="Y30">
        <v>808.45</v>
      </c>
      <c r="Z30">
        <v>908.46875</v>
      </c>
      <c r="AA30">
        <v>0.23473014344191806</v>
      </c>
      <c r="AB30">
        <v>0.75301207845443852</v>
      </c>
      <c r="AC30">
        <v>3</v>
      </c>
      <c r="AD30">
        <v>7267.75</v>
      </c>
      <c r="AE30">
        <v>12.399999999999999</v>
      </c>
      <c r="AF30">
        <v>0.23473014344191806</v>
      </c>
      <c r="AG30">
        <v>908.46875</v>
      </c>
      <c r="AH30">
        <v>908.46875</v>
      </c>
      <c r="AI30">
        <v>0.23473014344191806</v>
      </c>
      <c r="AJ30">
        <v>0.75301207845443852</v>
      </c>
      <c r="AK30">
        <v>3</v>
      </c>
      <c r="AL30">
        <v>7267.75</v>
      </c>
      <c r="AM30">
        <v>12.399999999999999</v>
      </c>
      <c r="AN30">
        <v>0.23473014344191806</v>
      </c>
      <c r="AO30">
        <v>908.46875</v>
      </c>
    </row>
    <row r="31" spans="1:41" x14ac:dyDescent="0.25">
      <c r="A31" s="10" t="s">
        <v>45</v>
      </c>
      <c r="B31">
        <v>815</v>
      </c>
      <c r="C31">
        <v>0.32926380368098163</v>
      </c>
      <c r="D31">
        <v>0.32926380368098163</v>
      </c>
      <c r="E31">
        <v>1</v>
      </c>
      <c r="F31">
        <v>1630</v>
      </c>
      <c r="G31">
        <v>4.0999999999999996</v>
      </c>
      <c r="H31">
        <v>0.32926380368098163</v>
      </c>
      <c r="I31">
        <v>815</v>
      </c>
      <c r="J31" t="e">
        <v>#DIV/0!</v>
      </c>
      <c r="K31" t="e">
        <v>#DIV/0!</v>
      </c>
      <c r="P31" t="e">
        <v>#DIV/0!</v>
      </c>
      <c r="Q31" t="e">
        <v>#DIV/0!</v>
      </c>
      <c r="R31">
        <v>1029.659090909091</v>
      </c>
      <c r="S31">
        <v>0.290364418938307</v>
      </c>
      <c r="T31">
        <v>0.84442047811608123</v>
      </c>
      <c r="U31">
        <v>3</v>
      </c>
      <c r="V31">
        <v>11326.25</v>
      </c>
      <c r="W31">
        <v>11</v>
      </c>
      <c r="X31">
        <v>0.290364418938307</v>
      </c>
      <c r="Y31">
        <v>1029.659090909091</v>
      </c>
      <c r="Z31">
        <v>996.63461538461536</v>
      </c>
      <c r="AA31">
        <v>0.29525827303424984</v>
      </c>
      <c r="AB31">
        <v>1.1736842817970627</v>
      </c>
      <c r="AC31">
        <v>4</v>
      </c>
      <c r="AD31">
        <v>12956.25</v>
      </c>
      <c r="AE31">
        <v>15.1</v>
      </c>
      <c r="AF31">
        <v>0.29525827303424984</v>
      </c>
      <c r="AG31">
        <v>996.63461538461536</v>
      </c>
      <c r="AH31">
        <v>996.63461538461536</v>
      </c>
      <c r="AI31">
        <v>0.29525827303424984</v>
      </c>
      <c r="AJ31">
        <v>1.1736842817970627</v>
      </c>
      <c r="AK31">
        <v>4</v>
      </c>
      <c r="AL31">
        <v>12956.25</v>
      </c>
      <c r="AM31">
        <v>15.1</v>
      </c>
      <c r="AN31">
        <v>0.29525827303424984</v>
      </c>
      <c r="AO31">
        <v>996.63461538461536</v>
      </c>
    </row>
    <row r="32" spans="1:41" x14ac:dyDescent="0.25">
      <c r="A32" s="10" t="s">
        <v>24</v>
      </c>
      <c r="B32" t="e">
        <v>#DIV/0!</v>
      </c>
      <c r="C32" t="e">
        <v>#DIV/0!</v>
      </c>
      <c r="H32" t="e">
        <v>#DIV/0!</v>
      </c>
      <c r="I32" t="e">
        <v>#DIV/0!</v>
      </c>
      <c r="J32">
        <v>345</v>
      </c>
      <c r="K32">
        <v>0.29601449275362318</v>
      </c>
      <c r="L32">
        <v>0.29601449275362318</v>
      </c>
      <c r="M32">
        <v>1</v>
      </c>
      <c r="N32">
        <v>1380</v>
      </c>
      <c r="O32">
        <v>4.5999999999999996</v>
      </c>
      <c r="P32">
        <v>0.29601449275362318</v>
      </c>
      <c r="Q32">
        <v>345</v>
      </c>
      <c r="R32">
        <v>355.5</v>
      </c>
      <c r="S32">
        <v>0.35507735583684952</v>
      </c>
      <c r="T32">
        <v>0.35507735583684952</v>
      </c>
      <c r="U32">
        <v>1</v>
      </c>
      <c r="V32">
        <v>711</v>
      </c>
      <c r="W32">
        <v>3.4</v>
      </c>
      <c r="X32">
        <v>0.35507735583684952</v>
      </c>
      <c r="Y32">
        <v>355.5</v>
      </c>
      <c r="Z32">
        <v>348.5</v>
      </c>
      <c r="AA32">
        <v>0.31609756097560976</v>
      </c>
      <c r="AB32">
        <v>0.65109184859047264</v>
      </c>
      <c r="AC32">
        <v>2</v>
      </c>
      <c r="AD32">
        <v>2091</v>
      </c>
      <c r="AE32">
        <v>8</v>
      </c>
      <c r="AF32">
        <v>0.31609756097560976</v>
      </c>
      <c r="AG32">
        <v>348.5</v>
      </c>
      <c r="AH32">
        <v>348.5</v>
      </c>
      <c r="AI32">
        <v>0.31609756097560976</v>
      </c>
      <c r="AJ32">
        <v>0.65109184859047264</v>
      </c>
      <c r="AK32">
        <v>2</v>
      </c>
      <c r="AL32">
        <v>2091</v>
      </c>
      <c r="AM32">
        <v>8</v>
      </c>
      <c r="AN32">
        <v>0.31609756097560976</v>
      </c>
      <c r="AO32">
        <v>348.5</v>
      </c>
    </row>
    <row r="33" spans="1:41" x14ac:dyDescent="0.25">
      <c r="A33" s="5" t="s">
        <v>44</v>
      </c>
      <c r="B33">
        <v>937.51739130434794</v>
      </c>
      <c r="C33">
        <v>0.2992009423593302</v>
      </c>
      <c r="D33">
        <v>2.0382754795162468</v>
      </c>
      <c r="E33">
        <v>7</v>
      </c>
      <c r="F33">
        <v>21562.9</v>
      </c>
      <c r="G33">
        <v>29.9</v>
      </c>
      <c r="H33">
        <v>0.2992009423593302</v>
      </c>
      <c r="I33">
        <v>937.51739130434794</v>
      </c>
      <c r="J33">
        <v>717.31111111111113</v>
      </c>
      <c r="K33">
        <v>0.37263236159732332</v>
      </c>
      <c r="L33">
        <v>0.74854759070687094</v>
      </c>
      <c r="M33">
        <v>2</v>
      </c>
      <c r="N33">
        <v>6455.8</v>
      </c>
      <c r="O33">
        <v>9.5</v>
      </c>
      <c r="P33">
        <v>0.37263236159732332</v>
      </c>
      <c r="Q33">
        <v>717.31111111111113</v>
      </c>
      <c r="R33">
        <v>864.34454545454548</v>
      </c>
      <c r="S33">
        <v>0.31643273568305569</v>
      </c>
      <c r="T33">
        <v>5.9977069902562317</v>
      </c>
      <c r="U33">
        <v>19</v>
      </c>
      <c r="V33">
        <v>47538.950000000004</v>
      </c>
      <c r="W33">
        <v>67.099999999999994</v>
      </c>
      <c r="X33">
        <v>0.31643273568305569</v>
      </c>
      <c r="Y33">
        <v>864.34454545454548</v>
      </c>
      <c r="Z33">
        <v>868.478735632184</v>
      </c>
      <c r="AA33">
        <v>0.3163168785688808</v>
      </c>
      <c r="AB33">
        <v>8.7845300604793479</v>
      </c>
      <c r="AC33">
        <v>28</v>
      </c>
      <c r="AD33">
        <v>75557.650000000009</v>
      </c>
      <c r="AE33">
        <v>106.50000000000001</v>
      </c>
      <c r="AF33">
        <v>0.3163168785688808</v>
      </c>
      <c r="AG33">
        <v>868.478735632184</v>
      </c>
      <c r="AH33">
        <v>868.478735632184</v>
      </c>
      <c r="AI33">
        <v>0.3163168785688808</v>
      </c>
      <c r="AJ33">
        <v>8.7845300604793479</v>
      </c>
      <c r="AK33">
        <v>28</v>
      </c>
      <c r="AL33">
        <v>75557.650000000009</v>
      </c>
      <c r="AM33">
        <v>106.50000000000001</v>
      </c>
      <c r="AN33">
        <v>0.3163168785688808</v>
      </c>
      <c r="AO33">
        <v>868.478735632184</v>
      </c>
    </row>
    <row r="34" spans="1:41" x14ac:dyDescent="0.25">
      <c r="A34" s="9" t="s">
        <v>42</v>
      </c>
      <c r="B34">
        <v>954.67272727272723</v>
      </c>
      <c r="C34">
        <v>0.27652789151922602</v>
      </c>
      <c r="D34">
        <v>0.85065502400119786</v>
      </c>
      <c r="E34">
        <v>3</v>
      </c>
      <c r="F34">
        <v>10501.4</v>
      </c>
      <c r="G34">
        <v>12.8</v>
      </c>
      <c r="H34">
        <v>0.27652789151922602</v>
      </c>
      <c r="I34">
        <v>954.67272727272723</v>
      </c>
      <c r="J34">
        <v>520.20000000000005</v>
      </c>
      <c r="K34">
        <v>0.37889273356401382</v>
      </c>
      <c r="L34">
        <v>0.37889273356401382</v>
      </c>
      <c r="M34">
        <v>1</v>
      </c>
      <c r="N34">
        <v>2080.8000000000002</v>
      </c>
      <c r="O34">
        <v>4.9000000000000004</v>
      </c>
      <c r="P34">
        <v>0.37889273356401382</v>
      </c>
      <c r="Q34">
        <v>520.20000000000005</v>
      </c>
      <c r="R34">
        <v>927.47500000000025</v>
      </c>
      <c r="S34">
        <v>0.30429783699144058</v>
      </c>
      <c r="T34">
        <v>2.0359352203382568</v>
      </c>
      <c r="U34">
        <v>7</v>
      </c>
      <c r="V34">
        <v>20404.450000000004</v>
      </c>
      <c r="W34">
        <v>24.8</v>
      </c>
      <c r="X34">
        <v>0.30429783699144058</v>
      </c>
      <c r="Y34">
        <v>927.47500000000025</v>
      </c>
      <c r="Z34">
        <v>891.53108108108108</v>
      </c>
      <c r="AA34">
        <v>0.30016264155347694</v>
      </c>
      <c r="AB34">
        <v>3.2654829779034689</v>
      </c>
      <c r="AC34">
        <v>11</v>
      </c>
      <c r="AD34">
        <v>32986.65</v>
      </c>
      <c r="AE34">
        <v>42.5</v>
      </c>
      <c r="AF34">
        <v>0.30016264155347694</v>
      </c>
      <c r="AG34">
        <v>891.53108108108108</v>
      </c>
      <c r="AH34">
        <v>891.53108108108108</v>
      </c>
      <c r="AI34">
        <v>0.30016264155347694</v>
      </c>
      <c r="AJ34">
        <v>3.2654829779034689</v>
      </c>
      <c r="AK34">
        <v>11</v>
      </c>
      <c r="AL34">
        <v>32986.65</v>
      </c>
      <c r="AM34">
        <v>42.5</v>
      </c>
      <c r="AN34">
        <v>0.30016264155347694</v>
      </c>
      <c r="AO34">
        <v>891.53108108108108</v>
      </c>
    </row>
    <row r="35" spans="1:41" x14ac:dyDescent="0.25">
      <c r="A35" s="10" t="s">
        <v>29</v>
      </c>
      <c r="B35">
        <v>954.67272727272723</v>
      </c>
      <c r="C35">
        <v>0.27652789151922602</v>
      </c>
      <c r="D35">
        <v>0.85065502400119786</v>
      </c>
      <c r="E35">
        <v>3</v>
      </c>
      <c r="F35">
        <v>10501.4</v>
      </c>
      <c r="G35">
        <v>12.8</v>
      </c>
      <c r="H35">
        <v>0.27652789151922602</v>
      </c>
      <c r="I35">
        <v>954.67272727272723</v>
      </c>
      <c r="J35" t="e">
        <v>#DIV/0!</v>
      </c>
      <c r="K35" t="e">
        <v>#DIV/0!</v>
      </c>
      <c r="P35" t="e">
        <v>#DIV/0!</v>
      </c>
      <c r="Q35" t="e">
        <v>#DIV/0!</v>
      </c>
      <c r="R35">
        <v>1166.6538461538462</v>
      </c>
      <c r="S35">
        <v>0.31766986450400558</v>
      </c>
      <c r="T35">
        <v>1.2305161627173336</v>
      </c>
      <c r="U35">
        <v>4</v>
      </c>
      <c r="V35">
        <v>15166.5</v>
      </c>
      <c r="W35">
        <v>14</v>
      </c>
      <c r="X35">
        <v>0.31766986450400558</v>
      </c>
      <c r="Y35">
        <v>1166.6538461538462</v>
      </c>
      <c r="Z35">
        <v>1069.4958333333334</v>
      </c>
      <c r="AA35">
        <v>0.30083762208828929</v>
      </c>
      <c r="AB35">
        <v>2.0811711867185316</v>
      </c>
      <c r="AC35">
        <v>7</v>
      </c>
      <c r="AD35">
        <v>25667.9</v>
      </c>
      <c r="AE35">
        <v>26.799999999999997</v>
      </c>
      <c r="AF35">
        <v>0.30083762208828929</v>
      </c>
      <c r="AG35">
        <v>1069.4958333333334</v>
      </c>
      <c r="AH35">
        <v>1069.4958333333334</v>
      </c>
      <c r="AI35">
        <v>0.30083762208828929</v>
      </c>
      <c r="AJ35">
        <v>2.0811711867185316</v>
      </c>
      <c r="AK35">
        <v>7</v>
      </c>
      <c r="AL35">
        <v>25667.9</v>
      </c>
      <c r="AM35">
        <v>26.799999999999997</v>
      </c>
      <c r="AN35">
        <v>0.30083762208828929</v>
      </c>
      <c r="AO35">
        <v>1069.4958333333334</v>
      </c>
    </row>
    <row r="36" spans="1:41" x14ac:dyDescent="0.25">
      <c r="A36" s="10" t="s">
        <v>45</v>
      </c>
      <c r="B36" t="e">
        <v>#DIV/0!</v>
      </c>
      <c r="C36" t="e">
        <v>#DIV/0!</v>
      </c>
      <c r="H36" t="e">
        <v>#DIV/0!</v>
      </c>
      <c r="I36" t="e">
        <v>#DIV/0!</v>
      </c>
      <c r="J36">
        <v>520.20000000000005</v>
      </c>
      <c r="K36">
        <v>0.37889273356401382</v>
      </c>
      <c r="L36">
        <v>0.37889273356401382</v>
      </c>
      <c r="M36">
        <v>1</v>
      </c>
      <c r="N36">
        <v>2080.8000000000002</v>
      </c>
      <c r="O36">
        <v>4.9000000000000004</v>
      </c>
      <c r="P36">
        <v>0.37889273356401382</v>
      </c>
      <c r="Q36">
        <v>520.20000000000005</v>
      </c>
      <c r="R36">
        <v>548.1</v>
      </c>
      <c r="S36">
        <v>0.26447728516694036</v>
      </c>
      <c r="T36">
        <v>0.26447728516694036</v>
      </c>
      <c r="U36">
        <v>1</v>
      </c>
      <c r="V36">
        <v>2192.4</v>
      </c>
      <c r="W36">
        <v>3.3</v>
      </c>
      <c r="X36">
        <v>0.26447728516694036</v>
      </c>
      <c r="Y36">
        <v>548.1</v>
      </c>
      <c r="Z36">
        <v>534.15000000000009</v>
      </c>
      <c r="AA36">
        <v>0.32019095759618077</v>
      </c>
      <c r="AB36">
        <v>0.64337001873095412</v>
      </c>
      <c r="AC36">
        <v>2</v>
      </c>
      <c r="AD36">
        <v>4273.2000000000007</v>
      </c>
      <c r="AE36">
        <v>8.1999999999999993</v>
      </c>
      <c r="AF36">
        <v>0.32019095759618077</v>
      </c>
      <c r="AG36">
        <v>534.15000000000009</v>
      </c>
      <c r="AH36">
        <v>534.15000000000009</v>
      </c>
      <c r="AI36">
        <v>0.32019095759618077</v>
      </c>
      <c r="AJ36">
        <v>0.64337001873095412</v>
      </c>
      <c r="AK36">
        <v>2</v>
      </c>
      <c r="AL36">
        <v>4273.2000000000007</v>
      </c>
      <c r="AM36">
        <v>8.1999999999999993</v>
      </c>
      <c r="AN36">
        <v>0.32019095759618077</v>
      </c>
      <c r="AO36">
        <v>534.15000000000009</v>
      </c>
    </row>
    <row r="37" spans="1:41" x14ac:dyDescent="0.25">
      <c r="A37" s="10" t="s">
        <v>24</v>
      </c>
      <c r="B37" t="e">
        <v>#DIV/0!</v>
      </c>
      <c r="C37" t="e">
        <v>#DIV/0!</v>
      </c>
      <c r="H37" t="e">
        <v>#DIV/0!</v>
      </c>
      <c r="I37" t="e">
        <v>#DIV/0!</v>
      </c>
      <c r="J37" t="e">
        <v>#DIV/0!</v>
      </c>
      <c r="K37" t="e">
        <v>#DIV/0!</v>
      </c>
      <c r="P37" t="e">
        <v>#DIV/0!</v>
      </c>
      <c r="Q37" t="e">
        <v>#DIV/0!</v>
      </c>
      <c r="R37">
        <v>609.11</v>
      </c>
      <c r="S37">
        <v>0.26637224803401682</v>
      </c>
      <c r="T37">
        <v>0.54094177245398301</v>
      </c>
      <c r="U37">
        <v>2</v>
      </c>
      <c r="V37">
        <v>3045.55</v>
      </c>
      <c r="W37">
        <v>7.5</v>
      </c>
      <c r="X37">
        <v>0.26637224803401682</v>
      </c>
      <c r="Y37">
        <v>609.11</v>
      </c>
      <c r="Z37">
        <v>609.11</v>
      </c>
      <c r="AA37">
        <v>0.26637224803401682</v>
      </c>
      <c r="AB37">
        <v>0.54094177245398301</v>
      </c>
      <c r="AC37">
        <v>2</v>
      </c>
      <c r="AD37">
        <v>3045.55</v>
      </c>
      <c r="AE37">
        <v>7.5</v>
      </c>
      <c r="AF37">
        <v>0.26637224803401682</v>
      </c>
      <c r="AG37">
        <v>609.11</v>
      </c>
      <c r="AH37">
        <v>609.11</v>
      </c>
      <c r="AI37">
        <v>0.26637224803401682</v>
      </c>
      <c r="AJ37">
        <v>0.54094177245398301</v>
      </c>
      <c r="AK37">
        <v>2</v>
      </c>
      <c r="AL37">
        <v>3045.55</v>
      </c>
      <c r="AM37">
        <v>7.5</v>
      </c>
      <c r="AN37">
        <v>0.26637224803401682</v>
      </c>
      <c r="AO37">
        <v>609.11</v>
      </c>
    </row>
    <row r="38" spans="1:41" x14ac:dyDescent="0.25">
      <c r="A38" s="9" t="s">
        <v>23</v>
      </c>
      <c r="B38">
        <v>723.35</v>
      </c>
      <c r="C38">
        <v>0.31288449574894583</v>
      </c>
      <c r="D38">
        <v>0.31288449574894583</v>
      </c>
      <c r="E38">
        <v>1</v>
      </c>
      <c r="F38">
        <v>2893.4</v>
      </c>
      <c r="G38">
        <v>4.5</v>
      </c>
      <c r="H38">
        <v>0.31288449574894583</v>
      </c>
      <c r="I38">
        <v>723.35</v>
      </c>
      <c r="J38">
        <v>875</v>
      </c>
      <c r="K38">
        <v>0.36965485714285712</v>
      </c>
      <c r="L38">
        <v>0.36965485714285712</v>
      </c>
      <c r="M38">
        <v>1</v>
      </c>
      <c r="N38">
        <v>4375</v>
      </c>
      <c r="O38">
        <v>4.5999999999999996</v>
      </c>
      <c r="P38">
        <v>0.36965485714285712</v>
      </c>
      <c r="Q38">
        <v>875</v>
      </c>
      <c r="R38">
        <v>766.31578947368416</v>
      </c>
      <c r="S38">
        <v>0.29246909340659344</v>
      </c>
      <c r="T38">
        <v>1.4929414254573075</v>
      </c>
      <c r="U38">
        <v>5</v>
      </c>
      <c r="V38">
        <v>14560</v>
      </c>
      <c r="W38">
        <v>17.600000000000001</v>
      </c>
      <c r="X38">
        <v>0.29246909340659344</v>
      </c>
      <c r="Y38">
        <v>766.31578947368416</v>
      </c>
      <c r="Z38">
        <v>779.58571428571429</v>
      </c>
      <c r="AA38">
        <v>0.31064530611496943</v>
      </c>
      <c r="AB38">
        <v>2.1754807783491108</v>
      </c>
      <c r="AC38">
        <v>7</v>
      </c>
      <c r="AD38">
        <v>21828.400000000001</v>
      </c>
      <c r="AE38">
        <v>26.7</v>
      </c>
      <c r="AF38">
        <v>0.31064530611496943</v>
      </c>
      <c r="AG38">
        <v>779.58571428571429</v>
      </c>
      <c r="AH38">
        <v>779.58571428571429</v>
      </c>
      <c r="AI38">
        <v>0.31064530611496943</v>
      </c>
      <c r="AJ38">
        <v>2.1754807783491108</v>
      </c>
      <c r="AK38">
        <v>7</v>
      </c>
      <c r="AL38">
        <v>21828.400000000001</v>
      </c>
      <c r="AM38">
        <v>26.7</v>
      </c>
      <c r="AN38">
        <v>0.31064530611496943</v>
      </c>
      <c r="AO38">
        <v>779.58571428571429</v>
      </c>
    </row>
    <row r="39" spans="1:41" x14ac:dyDescent="0.25">
      <c r="A39" s="10" t="s">
        <v>29</v>
      </c>
      <c r="B39" t="e">
        <v>#DIV/0!</v>
      </c>
      <c r="C39" t="e">
        <v>#DIV/0!</v>
      </c>
      <c r="H39" t="e">
        <v>#DIV/0!</v>
      </c>
      <c r="I39" t="e">
        <v>#DIV/0!</v>
      </c>
      <c r="J39">
        <v>875</v>
      </c>
      <c r="K39">
        <v>0.36965485714285712</v>
      </c>
      <c r="L39">
        <v>0.36965485714285712</v>
      </c>
      <c r="M39">
        <v>1</v>
      </c>
      <c r="N39">
        <v>4375</v>
      </c>
      <c r="O39">
        <v>4.5999999999999996</v>
      </c>
      <c r="P39">
        <v>0.36965485714285712</v>
      </c>
      <c r="Q39">
        <v>875</v>
      </c>
      <c r="R39">
        <v>897.625</v>
      </c>
      <c r="S39">
        <v>0.26613702826904334</v>
      </c>
      <c r="T39">
        <v>0.53995467178470669</v>
      </c>
      <c r="U39">
        <v>2</v>
      </c>
      <c r="V39">
        <v>7181</v>
      </c>
      <c r="W39">
        <v>6.3000000000000007</v>
      </c>
      <c r="X39">
        <v>0.26613702826904334</v>
      </c>
      <c r="Y39">
        <v>897.625</v>
      </c>
      <c r="Z39">
        <v>888.92307692307691</v>
      </c>
      <c r="AA39">
        <v>0.30532796815507096</v>
      </c>
      <c r="AB39">
        <v>0.90960952892756386</v>
      </c>
      <c r="AC39">
        <v>3</v>
      </c>
      <c r="AD39">
        <v>11556</v>
      </c>
      <c r="AE39">
        <v>10.899999999999999</v>
      </c>
      <c r="AF39">
        <v>0.30532796815507096</v>
      </c>
      <c r="AG39">
        <v>888.92307692307691</v>
      </c>
      <c r="AH39">
        <v>888.92307692307691</v>
      </c>
      <c r="AI39">
        <v>0.30532796815507096</v>
      </c>
      <c r="AJ39">
        <v>0.90960952892756386</v>
      </c>
      <c r="AK39">
        <v>3</v>
      </c>
      <c r="AL39">
        <v>11556</v>
      </c>
      <c r="AM39">
        <v>10.899999999999999</v>
      </c>
      <c r="AN39">
        <v>0.30532796815507096</v>
      </c>
      <c r="AO39">
        <v>888.92307692307691</v>
      </c>
    </row>
    <row r="40" spans="1:41" x14ac:dyDescent="0.25">
      <c r="A40" s="10" t="s">
        <v>45</v>
      </c>
      <c r="B40" t="e">
        <v>#DIV/0!</v>
      </c>
      <c r="C40" t="e">
        <v>#DIV/0!</v>
      </c>
      <c r="H40" t="e">
        <v>#DIV/0!</v>
      </c>
      <c r="I40" t="e">
        <v>#DIV/0!</v>
      </c>
      <c r="J40" t="e">
        <v>#DIV/0!</v>
      </c>
      <c r="K40" t="e">
        <v>#DIV/0!</v>
      </c>
      <c r="P40" t="e">
        <v>#DIV/0!</v>
      </c>
      <c r="Q40" t="e">
        <v>#DIV/0!</v>
      </c>
      <c r="R40">
        <v>941</v>
      </c>
      <c r="S40">
        <v>0.22845200141693234</v>
      </c>
      <c r="T40">
        <v>0.22845200141693234</v>
      </c>
      <c r="U40">
        <v>1</v>
      </c>
      <c r="V40">
        <v>2823</v>
      </c>
      <c r="W40">
        <v>3.7</v>
      </c>
      <c r="X40">
        <v>0.22845200141693234</v>
      </c>
      <c r="Y40">
        <v>941</v>
      </c>
      <c r="Z40">
        <v>941</v>
      </c>
      <c r="AA40">
        <v>0.22845200141693234</v>
      </c>
      <c r="AB40">
        <v>0.22845200141693234</v>
      </c>
      <c r="AC40">
        <v>1</v>
      </c>
      <c r="AD40">
        <v>2823</v>
      </c>
      <c r="AE40">
        <v>3.7</v>
      </c>
      <c r="AF40">
        <v>0.22845200141693234</v>
      </c>
      <c r="AG40">
        <v>941</v>
      </c>
      <c r="AH40">
        <v>941</v>
      </c>
      <c r="AI40">
        <v>0.22845200141693234</v>
      </c>
      <c r="AJ40">
        <v>0.22845200141693234</v>
      </c>
      <c r="AK40">
        <v>1</v>
      </c>
      <c r="AL40">
        <v>2823</v>
      </c>
      <c r="AM40">
        <v>3.7</v>
      </c>
      <c r="AN40">
        <v>0.22845200141693234</v>
      </c>
      <c r="AO40">
        <v>941</v>
      </c>
    </row>
    <row r="41" spans="1:41" x14ac:dyDescent="0.25">
      <c r="A41" s="10" t="s">
        <v>24</v>
      </c>
      <c r="B41">
        <v>723.35</v>
      </c>
      <c r="C41">
        <v>0.31288449574894583</v>
      </c>
      <c r="D41">
        <v>0.31288449574894583</v>
      </c>
      <c r="E41">
        <v>1</v>
      </c>
      <c r="F41">
        <v>2893.4</v>
      </c>
      <c r="G41">
        <v>4.5</v>
      </c>
      <c r="H41">
        <v>0.31288449574894583</v>
      </c>
      <c r="I41">
        <v>723.35</v>
      </c>
      <c r="J41" t="e">
        <v>#DIV/0!</v>
      </c>
      <c r="K41" t="e">
        <v>#DIV/0!</v>
      </c>
      <c r="P41" t="e">
        <v>#DIV/0!</v>
      </c>
      <c r="Q41" t="e">
        <v>#DIV/0!</v>
      </c>
      <c r="R41">
        <v>569.5</v>
      </c>
      <c r="S41">
        <v>0.37363915715539947</v>
      </c>
      <c r="T41">
        <v>0.72453475225566843</v>
      </c>
      <c r="U41">
        <v>2</v>
      </c>
      <c r="V41">
        <v>4556</v>
      </c>
      <c r="W41">
        <v>7.6</v>
      </c>
      <c r="X41">
        <v>0.37363915715539947</v>
      </c>
      <c r="Y41">
        <v>569.5</v>
      </c>
      <c r="Z41">
        <v>620.7833333333333</v>
      </c>
      <c r="AA41">
        <v>0.35004161408972534</v>
      </c>
      <c r="AB41">
        <v>1.0374192480046143</v>
      </c>
      <c r="AC41">
        <v>3</v>
      </c>
      <c r="AD41">
        <v>7449.4</v>
      </c>
      <c r="AE41">
        <v>12.100000000000001</v>
      </c>
      <c r="AF41">
        <v>0.35004161408972534</v>
      </c>
      <c r="AG41">
        <v>620.7833333333333</v>
      </c>
      <c r="AH41">
        <v>620.7833333333333</v>
      </c>
      <c r="AI41">
        <v>0.35004161408972534</v>
      </c>
      <c r="AJ41">
        <v>1.0374192480046143</v>
      </c>
      <c r="AK41">
        <v>3</v>
      </c>
      <c r="AL41">
        <v>7449.4</v>
      </c>
      <c r="AM41">
        <v>12.100000000000001</v>
      </c>
      <c r="AN41">
        <v>0.35004161408972534</v>
      </c>
      <c r="AO41">
        <v>620.7833333333333</v>
      </c>
    </row>
    <row r="42" spans="1:41" x14ac:dyDescent="0.25">
      <c r="A42" s="9" t="s">
        <v>33</v>
      </c>
      <c r="B42">
        <v>1021.0125</v>
      </c>
      <c r="C42">
        <v>0.3235036299751472</v>
      </c>
      <c r="D42">
        <v>0.87473595976610308</v>
      </c>
      <c r="E42">
        <v>3</v>
      </c>
      <c r="F42">
        <v>8168.1</v>
      </c>
      <c r="G42">
        <v>12.6</v>
      </c>
      <c r="H42">
        <v>0.3235036299751472</v>
      </c>
      <c r="I42">
        <v>1021.0125</v>
      </c>
      <c r="J42" t="e">
        <v>#DIV/0!</v>
      </c>
      <c r="K42" t="e">
        <v>#DIV/0!</v>
      </c>
      <c r="P42" t="e">
        <v>#DIV/0!</v>
      </c>
      <c r="Q42" t="e">
        <v>#DIV/0!</v>
      </c>
      <c r="R42">
        <v>898.17857142857144</v>
      </c>
      <c r="S42">
        <v>0.3638713268917253</v>
      </c>
      <c r="T42">
        <v>2.4688303444606667</v>
      </c>
      <c r="U42">
        <v>7</v>
      </c>
      <c r="V42">
        <v>12574.5</v>
      </c>
      <c r="W42">
        <v>24.700000000000003</v>
      </c>
      <c r="X42">
        <v>0.3638713268917253</v>
      </c>
      <c r="Y42">
        <v>898.17857142857144</v>
      </c>
      <c r="Z42">
        <v>942.84545454545446</v>
      </c>
      <c r="AA42">
        <v>0.3479751815105146</v>
      </c>
      <c r="AB42">
        <v>3.34356630422677</v>
      </c>
      <c r="AC42">
        <v>10</v>
      </c>
      <c r="AD42">
        <v>20742.599999999999</v>
      </c>
      <c r="AE42">
        <v>37.299999999999997</v>
      </c>
      <c r="AF42">
        <v>0.3479751815105146</v>
      </c>
      <c r="AG42">
        <v>942.84545454545446</v>
      </c>
      <c r="AH42">
        <v>942.84545454545446</v>
      </c>
      <c r="AI42">
        <v>0.3479751815105146</v>
      </c>
      <c r="AJ42">
        <v>3.34356630422677</v>
      </c>
      <c r="AK42">
        <v>10</v>
      </c>
      <c r="AL42">
        <v>20742.599999999999</v>
      </c>
      <c r="AM42">
        <v>37.299999999999997</v>
      </c>
      <c r="AN42">
        <v>0.3479751815105146</v>
      </c>
      <c r="AO42">
        <v>942.84545454545446</v>
      </c>
    </row>
    <row r="43" spans="1:41" x14ac:dyDescent="0.25">
      <c r="A43" s="10" t="s">
        <v>29</v>
      </c>
      <c r="B43">
        <v>1180.5333333333333</v>
      </c>
      <c r="C43">
        <v>0.33460865145696861</v>
      </c>
      <c r="D43">
        <v>0.62373586759170907</v>
      </c>
      <c r="E43">
        <v>2</v>
      </c>
      <c r="F43">
        <v>7083.2</v>
      </c>
      <c r="G43">
        <v>8.5</v>
      </c>
      <c r="H43">
        <v>0.33460865145696861</v>
      </c>
      <c r="I43">
        <v>1180.5333333333333</v>
      </c>
      <c r="J43" t="e">
        <v>#DIV/0!</v>
      </c>
      <c r="K43" t="e">
        <v>#DIV/0!</v>
      </c>
      <c r="P43" t="e">
        <v>#DIV/0!</v>
      </c>
      <c r="Q43" t="e">
        <v>#DIV/0!</v>
      </c>
      <c r="R43">
        <v>1117.5666666666666</v>
      </c>
      <c r="S43">
        <v>0.36050049214066282</v>
      </c>
      <c r="T43">
        <v>1.390013133489046</v>
      </c>
      <c r="U43">
        <v>4</v>
      </c>
      <c r="V43">
        <v>6705.4</v>
      </c>
      <c r="W43">
        <v>14.1</v>
      </c>
      <c r="X43">
        <v>0.36050049214066282</v>
      </c>
      <c r="Y43">
        <v>1117.5666666666666</v>
      </c>
      <c r="Z43">
        <v>1149.05</v>
      </c>
      <c r="AA43">
        <v>0.34719986075453629</v>
      </c>
      <c r="AB43">
        <v>2.0137490010807548</v>
      </c>
      <c r="AC43">
        <v>6</v>
      </c>
      <c r="AD43">
        <v>13788.6</v>
      </c>
      <c r="AE43">
        <v>22.6</v>
      </c>
      <c r="AF43">
        <v>0.34719986075453629</v>
      </c>
      <c r="AG43">
        <v>1149.05</v>
      </c>
      <c r="AH43">
        <v>1149.05</v>
      </c>
      <c r="AI43">
        <v>0.34719986075453629</v>
      </c>
      <c r="AJ43">
        <v>2.0137490010807548</v>
      </c>
      <c r="AK43">
        <v>6</v>
      </c>
      <c r="AL43">
        <v>13788.6</v>
      </c>
      <c r="AM43">
        <v>22.6</v>
      </c>
      <c r="AN43">
        <v>0.34719986075453629</v>
      </c>
      <c r="AO43">
        <v>1149.05</v>
      </c>
    </row>
    <row r="44" spans="1:41" x14ac:dyDescent="0.25">
      <c r="A44" s="10" t="s">
        <v>45</v>
      </c>
      <c r="B44" t="e">
        <v>#DIV/0!</v>
      </c>
      <c r="C44" t="e">
        <v>#DIV/0!</v>
      </c>
      <c r="H44" t="e">
        <v>#DIV/0!</v>
      </c>
      <c r="I44" t="e">
        <v>#DIV/0!</v>
      </c>
      <c r="J44" t="e">
        <v>#DIV/0!</v>
      </c>
      <c r="K44" t="e">
        <v>#DIV/0!</v>
      </c>
      <c r="P44" t="e">
        <v>#DIV/0!</v>
      </c>
      <c r="Q44" t="e">
        <v>#DIV/0!</v>
      </c>
      <c r="R44">
        <v>689.4</v>
      </c>
      <c r="S44">
        <v>0.35809882990039649</v>
      </c>
      <c r="T44">
        <v>0.35809882990039649</v>
      </c>
      <c r="U44">
        <v>1</v>
      </c>
      <c r="V44">
        <v>2068.1999999999998</v>
      </c>
      <c r="W44">
        <v>3.5</v>
      </c>
      <c r="X44">
        <v>0.35809882990039649</v>
      </c>
      <c r="Y44">
        <v>689.4</v>
      </c>
      <c r="Z44">
        <v>689.4</v>
      </c>
      <c r="AA44">
        <v>0.35809882990039649</v>
      </c>
      <c r="AB44">
        <v>0.35809882990039649</v>
      </c>
      <c r="AC44">
        <v>1</v>
      </c>
      <c r="AD44">
        <v>2068.1999999999998</v>
      </c>
      <c r="AE44">
        <v>3.5</v>
      </c>
      <c r="AF44">
        <v>0.35809882990039649</v>
      </c>
      <c r="AG44">
        <v>689.4</v>
      </c>
      <c r="AH44">
        <v>689.4</v>
      </c>
      <c r="AI44">
        <v>0.35809882990039649</v>
      </c>
      <c r="AJ44">
        <v>0.35809882990039649</v>
      </c>
      <c r="AK44">
        <v>1</v>
      </c>
      <c r="AL44">
        <v>2068.1999999999998</v>
      </c>
      <c r="AM44">
        <v>3.5</v>
      </c>
      <c r="AN44">
        <v>0.35809882990039649</v>
      </c>
      <c r="AO44">
        <v>689.4</v>
      </c>
    </row>
    <row r="45" spans="1:41" x14ac:dyDescent="0.25">
      <c r="A45" s="10" t="s">
        <v>24</v>
      </c>
      <c r="B45">
        <v>542.45000000000005</v>
      </c>
      <c r="C45">
        <v>0.25100009217439395</v>
      </c>
      <c r="D45">
        <v>0.25100009217439395</v>
      </c>
      <c r="E45">
        <v>1</v>
      </c>
      <c r="F45">
        <v>1084.9000000000001</v>
      </c>
      <c r="G45">
        <v>4.0999999999999996</v>
      </c>
      <c r="H45">
        <v>0.25100009217439395</v>
      </c>
      <c r="I45">
        <v>542.45000000000005</v>
      </c>
      <c r="J45" t="e">
        <v>#DIV/0!</v>
      </c>
      <c r="K45" t="e">
        <v>#DIV/0!</v>
      </c>
      <c r="P45" t="e">
        <v>#DIV/0!</v>
      </c>
      <c r="Q45" t="e">
        <v>#DIV/0!</v>
      </c>
      <c r="R45">
        <v>760.18000000000006</v>
      </c>
      <c r="S45">
        <v>0.37295903601778524</v>
      </c>
      <c r="T45">
        <v>0.72071838107122455</v>
      </c>
      <c r="U45">
        <v>2</v>
      </c>
      <c r="V45">
        <v>3800.9</v>
      </c>
      <c r="W45">
        <v>7.1</v>
      </c>
      <c r="X45">
        <v>0.37295903601778524</v>
      </c>
      <c r="Y45">
        <v>760.18000000000006</v>
      </c>
      <c r="Z45">
        <v>697.97142857142865</v>
      </c>
      <c r="AA45">
        <v>0.34587785009619709</v>
      </c>
      <c r="AB45">
        <v>0.97171847324561855</v>
      </c>
      <c r="AC45">
        <v>3</v>
      </c>
      <c r="AD45">
        <v>4885.8</v>
      </c>
      <c r="AE45">
        <v>11.2</v>
      </c>
      <c r="AF45">
        <v>0.34587785009619709</v>
      </c>
      <c r="AG45">
        <v>697.97142857142865</v>
      </c>
      <c r="AH45">
        <v>697.97142857142865</v>
      </c>
      <c r="AI45">
        <v>0.34587785009619709</v>
      </c>
      <c r="AJ45">
        <v>0.97171847324561855</v>
      </c>
      <c r="AK45">
        <v>3</v>
      </c>
      <c r="AL45">
        <v>4885.8</v>
      </c>
      <c r="AM45">
        <v>11.2</v>
      </c>
      <c r="AN45">
        <v>0.34587785009619709</v>
      </c>
      <c r="AO45">
        <v>697.97142857142865</v>
      </c>
    </row>
    <row r="46" spans="1:41" x14ac:dyDescent="0.25">
      <c r="A46" s="5" t="s">
        <v>32</v>
      </c>
      <c r="B46">
        <v>950.6583333333333</v>
      </c>
      <c r="C46">
        <v>0.25785727434497147</v>
      </c>
      <c r="D46">
        <v>1.36055623304478</v>
      </c>
      <c r="E46">
        <v>5</v>
      </c>
      <c r="F46">
        <v>11407.9</v>
      </c>
      <c r="G46">
        <v>21.6</v>
      </c>
      <c r="H46">
        <v>0.25785727434497147</v>
      </c>
      <c r="I46">
        <v>950.6583333333333</v>
      </c>
      <c r="J46">
        <v>705.66388888888889</v>
      </c>
      <c r="K46">
        <v>0.2952090033420065</v>
      </c>
      <c r="L46">
        <v>1.8819897321850971</v>
      </c>
      <c r="M46">
        <v>7</v>
      </c>
      <c r="N46">
        <v>12701.95</v>
      </c>
      <c r="O46">
        <v>33.299999999999997</v>
      </c>
      <c r="P46">
        <v>0.2952090033420065</v>
      </c>
      <c r="Q46">
        <v>705.66388888888889</v>
      </c>
      <c r="R46">
        <v>728.35425531914882</v>
      </c>
      <c r="S46">
        <v>0.2980043905452836</v>
      </c>
      <c r="T46">
        <v>3.4909169495136876</v>
      </c>
      <c r="U46">
        <v>12</v>
      </c>
      <c r="V46">
        <v>34232.649999999994</v>
      </c>
      <c r="W46">
        <v>41.999999999999993</v>
      </c>
      <c r="X46">
        <v>0.2980043905452836</v>
      </c>
      <c r="Y46">
        <v>728.35425531914882</v>
      </c>
      <c r="Z46">
        <v>757.69480519480521</v>
      </c>
      <c r="AA46">
        <v>0.28954569996143464</v>
      </c>
      <c r="AB46">
        <v>6.7334629147435638</v>
      </c>
      <c r="AC46">
        <v>24</v>
      </c>
      <c r="AD46">
        <v>58342.5</v>
      </c>
      <c r="AE46">
        <v>96.899999999999991</v>
      </c>
      <c r="AF46">
        <v>0.28954569996143464</v>
      </c>
      <c r="AG46">
        <v>757.69480519480521</v>
      </c>
      <c r="AH46">
        <v>757.69480519480521</v>
      </c>
      <c r="AI46">
        <v>0.28954569996143464</v>
      </c>
      <c r="AJ46">
        <v>6.7334629147435638</v>
      </c>
      <c r="AK46">
        <v>24</v>
      </c>
      <c r="AL46">
        <v>58342.5</v>
      </c>
      <c r="AM46">
        <v>96.899999999999991</v>
      </c>
      <c r="AN46">
        <v>0.28954569996143464</v>
      </c>
      <c r="AO46">
        <v>757.69480519480521</v>
      </c>
    </row>
    <row r="47" spans="1:41" x14ac:dyDescent="0.25">
      <c r="A47" s="9" t="s">
        <v>42</v>
      </c>
      <c r="B47">
        <v>695.7</v>
      </c>
      <c r="C47">
        <v>0.20209501221791001</v>
      </c>
      <c r="D47">
        <v>0.20209501221791001</v>
      </c>
      <c r="E47">
        <v>1</v>
      </c>
      <c r="F47">
        <v>2782.8</v>
      </c>
      <c r="G47">
        <v>4.3</v>
      </c>
      <c r="H47">
        <v>0.20209501221791001</v>
      </c>
      <c r="I47">
        <v>695.7</v>
      </c>
      <c r="J47">
        <v>682.79615384615386</v>
      </c>
      <c r="K47">
        <v>0.29464926461890301</v>
      </c>
      <c r="L47">
        <v>1.0499637526956986</v>
      </c>
      <c r="M47">
        <v>4</v>
      </c>
      <c r="N47">
        <v>8876.35</v>
      </c>
      <c r="O47">
        <v>19.2</v>
      </c>
      <c r="P47">
        <v>0.29464926461890301</v>
      </c>
      <c r="Q47">
        <v>682.79615384615386</v>
      </c>
      <c r="R47">
        <v>890.8</v>
      </c>
      <c r="S47">
        <v>0.37579928154467895</v>
      </c>
      <c r="T47">
        <v>0.37579928154467895</v>
      </c>
      <c r="U47">
        <v>1</v>
      </c>
      <c r="V47">
        <v>4454</v>
      </c>
      <c r="W47">
        <v>3.4</v>
      </c>
      <c r="X47">
        <v>0.37579928154467895</v>
      </c>
      <c r="Y47">
        <v>890.8</v>
      </c>
      <c r="Z47">
        <v>732.41590909090917</v>
      </c>
      <c r="AA47">
        <v>0.30109630953600003</v>
      </c>
      <c r="AB47">
        <v>1.6278580464582872</v>
      </c>
      <c r="AC47">
        <v>6</v>
      </c>
      <c r="AD47">
        <v>16113.150000000001</v>
      </c>
      <c r="AE47">
        <v>26.9</v>
      </c>
      <c r="AF47">
        <v>0.30109630953600003</v>
      </c>
      <c r="AG47">
        <v>732.41590909090917</v>
      </c>
      <c r="AH47">
        <v>732.41590909090917</v>
      </c>
      <c r="AI47">
        <v>0.30109630953600003</v>
      </c>
      <c r="AJ47">
        <v>1.6278580464582872</v>
      </c>
      <c r="AK47">
        <v>6</v>
      </c>
      <c r="AL47">
        <v>16113.150000000001</v>
      </c>
      <c r="AM47">
        <v>26.9</v>
      </c>
      <c r="AN47">
        <v>0.30109630953600003</v>
      </c>
      <c r="AO47">
        <v>732.41590909090917</v>
      </c>
    </row>
    <row r="48" spans="1:41" x14ac:dyDescent="0.25">
      <c r="A48" s="10" t="s">
        <v>29</v>
      </c>
      <c r="B48" t="e">
        <v>#DIV/0!</v>
      </c>
      <c r="C48" t="e">
        <v>#DIV/0!</v>
      </c>
      <c r="H48" t="e">
        <v>#DIV/0!</v>
      </c>
      <c r="I48" t="e">
        <v>#DIV/0!</v>
      </c>
      <c r="J48">
        <v>925</v>
      </c>
      <c r="K48">
        <v>0.31117374517374519</v>
      </c>
      <c r="L48">
        <v>0.56346329445137311</v>
      </c>
      <c r="M48">
        <v>2</v>
      </c>
      <c r="N48">
        <v>6475</v>
      </c>
      <c r="O48">
        <v>9.6999999999999993</v>
      </c>
      <c r="P48">
        <v>0.31117374517374519</v>
      </c>
      <c r="Q48">
        <v>925</v>
      </c>
      <c r="R48" t="e">
        <v>#DIV/0!</v>
      </c>
      <c r="S48" t="e">
        <v>#DIV/0!</v>
      </c>
      <c r="X48" t="e">
        <v>#DIV/0!</v>
      </c>
      <c r="Y48" t="e">
        <v>#DIV/0!</v>
      </c>
      <c r="Z48">
        <v>925</v>
      </c>
      <c r="AA48">
        <v>0.31117374517374519</v>
      </c>
      <c r="AB48">
        <v>0.56346329445137311</v>
      </c>
      <c r="AC48">
        <v>2</v>
      </c>
      <c r="AD48">
        <v>6475</v>
      </c>
      <c r="AE48">
        <v>9.6999999999999993</v>
      </c>
      <c r="AF48">
        <v>0.31117374517374519</v>
      </c>
      <c r="AG48">
        <v>925</v>
      </c>
      <c r="AH48">
        <v>925</v>
      </c>
      <c r="AI48">
        <v>0.31117374517374519</v>
      </c>
      <c r="AJ48">
        <v>0.56346329445137311</v>
      </c>
      <c r="AK48">
        <v>2</v>
      </c>
      <c r="AL48">
        <v>6475</v>
      </c>
      <c r="AM48">
        <v>9.6999999999999993</v>
      </c>
      <c r="AN48">
        <v>0.31117374517374519</v>
      </c>
      <c r="AO48">
        <v>925</v>
      </c>
    </row>
    <row r="49" spans="1:41" x14ac:dyDescent="0.25">
      <c r="A49" s="10" t="s">
        <v>45</v>
      </c>
      <c r="B49" t="e">
        <v>#DIV/0!</v>
      </c>
      <c r="C49" t="e">
        <v>#DIV/0!</v>
      </c>
      <c r="H49" t="e">
        <v>#DIV/0!</v>
      </c>
      <c r="I49" t="e">
        <v>#DIV/0!</v>
      </c>
      <c r="J49" t="e">
        <v>#DIV/0!</v>
      </c>
      <c r="K49" t="e">
        <v>#DIV/0!</v>
      </c>
      <c r="P49" t="e">
        <v>#DIV/0!</v>
      </c>
      <c r="Q49" t="e">
        <v>#DIV/0!</v>
      </c>
      <c r="R49">
        <v>890.8</v>
      </c>
      <c r="S49">
        <v>0.37579928154467895</v>
      </c>
      <c r="T49">
        <v>0.37579928154467895</v>
      </c>
      <c r="U49">
        <v>1</v>
      </c>
      <c r="V49">
        <v>4454</v>
      </c>
      <c r="W49">
        <v>3.4</v>
      </c>
      <c r="X49">
        <v>0.37579928154467895</v>
      </c>
      <c r="Y49">
        <v>890.8</v>
      </c>
      <c r="Z49">
        <v>890.8</v>
      </c>
      <c r="AA49">
        <v>0.37579928154467895</v>
      </c>
      <c r="AB49">
        <v>0.37579928154467895</v>
      </c>
      <c r="AC49">
        <v>1</v>
      </c>
      <c r="AD49">
        <v>4454</v>
      </c>
      <c r="AE49">
        <v>3.4</v>
      </c>
      <c r="AF49">
        <v>0.37579928154467895</v>
      </c>
      <c r="AG49">
        <v>890.8</v>
      </c>
      <c r="AH49">
        <v>890.8</v>
      </c>
      <c r="AI49">
        <v>0.37579928154467895</v>
      </c>
      <c r="AJ49">
        <v>0.37579928154467895</v>
      </c>
      <c r="AK49">
        <v>1</v>
      </c>
      <c r="AL49">
        <v>4454</v>
      </c>
      <c r="AM49">
        <v>3.4</v>
      </c>
      <c r="AN49">
        <v>0.37579928154467895</v>
      </c>
      <c r="AO49">
        <v>890.8</v>
      </c>
    </row>
    <row r="50" spans="1:41" x14ac:dyDescent="0.25">
      <c r="A50" s="10" t="s">
        <v>24</v>
      </c>
      <c r="B50">
        <v>695.7</v>
      </c>
      <c r="C50">
        <v>0.20209501221791001</v>
      </c>
      <c r="D50">
        <v>0.20209501221791001</v>
      </c>
      <c r="E50">
        <v>1</v>
      </c>
      <c r="F50">
        <v>2782.8</v>
      </c>
      <c r="G50">
        <v>4.3</v>
      </c>
      <c r="H50">
        <v>0.20209501221791001</v>
      </c>
      <c r="I50">
        <v>695.7</v>
      </c>
      <c r="J50">
        <v>400.22499999999997</v>
      </c>
      <c r="K50">
        <v>0.25009265621421284</v>
      </c>
      <c r="L50">
        <v>0.48650045824432542</v>
      </c>
      <c r="M50">
        <v>2</v>
      </c>
      <c r="N50">
        <v>2401.35</v>
      </c>
      <c r="O50">
        <v>9.5</v>
      </c>
      <c r="P50">
        <v>0.25009265621421284</v>
      </c>
      <c r="Q50">
        <v>400.22499999999997</v>
      </c>
      <c r="R50" t="e">
        <v>#DIV/0!</v>
      </c>
      <c r="S50" t="e">
        <v>#DIV/0!</v>
      </c>
      <c r="X50" t="e">
        <v>#DIV/0!</v>
      </c>
      <c r="Y50" t="e">
        <v>#DIV/0!</v>
      </c>
      <c r="Z50">
        <v>518.41500000000008</v>
      </c>
      <c r="AA50">
        <v>0.22432799976852519</v>
      </c>
      <c r="AB50">
        <v>0.68859547046223535</v>
      </c>
      <c r="AC50">
        <v>3</v>
      </c>
      <c r="AD50">
        <v>5184.1500000000005</v>
      </c>
      <c r="AE50">
        <v>13.799999999999999</v>
      </c>
      <c r="AF50">
        <v>0.22432799976852519</v>
      </c>
      <c r="AG50">
        <v>518.41500000000008</v>
      </c>
      <c r="AH50">
        <v>518.41500000000008</v>
      </c>
      <c r="AI50">
        <v>0.22432799976852519</v>
      </c>
      <c r="AJ50">
        <v>0.68859547046223535</v>
      </c>
      <c r="AK50">
        <v>3</v>
      </c>
      <c r="AL50">
        <v>5184.1500000000005</v>
      </c>
      <c r="AM50">
        <v>13.799999999999999</v>
      </c>
      <c r="AN50">
        <v>0.22432799976852519</v>
      </c>
      <c r="AO50">
        <v>518.41500000000008</v>
      </c>
    </row>
    <row r="51" spans="1:41" x14ac:dyDescent="0.25">
      <c r="A51" s="9" t="s">
        <v>23</v>
      </c>
      <c r="B51" t="e">
        <v>#DIV/0!</v>
      </c>
      <c r="C51" t="e">
        <v>#DIV/0!</v>
      </c>
      <c r="H51" t="e">
        <v>#DIV/0!</v>
      </c>
      <c r="I51" t="e">
        <v>#DIV/0!</v>
      </c>
      <c r="J51">
        <v>906.3</v>
      </c>
      <c r="K51">
        <v>0.22952664680569351</v>
      </c>
      <c r="L51">
        <v>0.22952664680569351</v>
      </c>
      <c r="M51">
        <v>1</v>
      </c>
      <c r="N51">
        <v>906.3</v>
      </c>
      <c r="O51">
        <v>4.7</v>
      </c>
      <c r="P51">
        <v>0.22952664680569351</v>
      </c>
      <c r="Q51">
        <v>906.3</v>
      </c>
      <c r="R51">
        <v>631.8295454545455</v>
      </c>
      <c r="S51">
        <v>0.24502221183072243</v>
      </c>
      <c r="T51">
        <v>1.5184456458937705</v>
      </c>
      <c r="U51">
        <v>6</v>
      </c>
      <c r="V51">
        <v>13900.25</v>
      </c>
      <c r="W51">
        <v>20.8</v>
      </c>
      <c r="X51">
        <v>0.24502221183072243</v>
      </c>
      <c r="Y51">
        <v>631.8295454545455</v>
      </c>
      <c r="Z51">
        <v>643.76304347826078</v>
      </c>
      <c r="AA51">
        <v>0.2440737376363839</v>
      </c>
      <c r="AB51">
        <v>1.7479722926994641</v>
      </c>
      <c r="AC51">
        <v>7</v>
      </c>
      <c r="AD51">
        <v>14806.55</v>
      </c>
      <c r="AE51">
        <v>25.5</v>
      </c>
      <c r="AF51">
        <v>0.2440737376363839</v>
      </c>
      <c r="AG51">
        <v>643.76304347826078</v>
      </c>
      <c r="AH51">
        <v>643.76304347826078</v>
      </c>
      <c r="AI51">
        <v>0.2440737376363839</v>
      </c>
      <c r="AJ51">
        <v>1.7479722926994641</v>
      </c>
      <c r="AK51">
        <v>7</v>
      </c>
      <c r="AL51">
        <v>14806.55</v>
      </c>
      <c r="AM51">
        <v>25.5</v>
      </c>
      <c r="AN51">
        <v>0.2440737376363839</v>
      </c>
      <c r="AO51">
        <v>643.76304347826078</v>
      </c>
    </row>
    <row r="52" spans="1:41" x14ac:dyDescent="0.25">
      <c r="A52" s="10" t="s">
        <v>29</v>
      </c>
      <c r="B52" t="e">
        <v>#DIV/0!</v>
      </c>
      <c r="C52" t="e">
        <v>#DIV/0!</v>
      </c>
      <c r="H52" t="e">
        <v>#DIV/0!</v>
      </c>
      <c r="I52" t="e">
        <v>#DIV/0!</v>
      </c>
      <c r="J52" t="e">
        <v>#DIV/0!</v>
      </c>
      <c r="K52" t="e">
        <v>#DIV/0!</v>
      </c>
      <c r="P52" t="e">
        <v>#DIV/0!</v>
      </c>
      <c r="Q52" t="e">
        <v>#DIV/0!</v>
      </c>
      <c r="R52">
        <v>1075.5</v>
      </c>
      <c r="S52">
        <v>0.23580261672311878</v>
      </c>
      <c r="T52">
        <v>0.47742773478142053</v>
      </c>
      <c r="U52">
        <v>2</v>
      </c>
      <c r="V52">
        <v>7528.5</v>
      </c>
      <c r="W52">
        <v>7.3</v>
      </c>
      <c r="X52">
        <v>0.23580261672311878</v>
      </c>
      <c r="Y52">
        <v>1075.5</v>
      </c>
      <c r="Z52">
        <v>1075.5</v>
      </c>
      <c r="AA52">
        <v>0.23580261672311878</v>
      </c>
      <c r="AB52">
        <v>0.47742773478142053</v>
      </c>
      <c r="AC52">
        <v>2</v>
      </c>
      <c r="AD52">
        <v>7528.5</v>
      </c>
      <c r="AE52">
        <v>7.3</v>
      </c>
      <c r="AF52">
        <v>0.23580261672311878</v>
      </c>
      <c r="AG52">
        <v>1075.5</v>
      </c>
      <c r="AH52">
        <v>1075.5</v>
      </c>
      <c r="AI52">
        <v>0.23580261672311878</v>
      </c>
      <c r="AJ52">
        <v>0.47742773478142053</v>
      </c>
      <c r="AK52">
        <v>2</v>
      </c>
      <c r="AL52">
        <v>7528.5</v>
      </c>
      <c r="AM52">
        <v>7.3</v>
      </c>
      <c r="AN52">
        <v>0.23580261672311878</v>
      </c>
      <c r="AO52">
        <v>1075.5</v>
      </c>
    </row>
    <row r="53" spans="1:41" x14ac:dyDescent="0.25">
      <c r="A53" s="10" t="s">
        <v>45</v>
      </c>
      <c r="B53" t="e">
        <v>#DIV/0!</v>
      </c>
      <c r="C53" t="e">
        <v>#DIV/0!</v>
      </c>
      <c r="H53" t="e">
        <v>#DIV/0!</v>
      </c>
      <c r="I53" t="e">
        <v>#DIV/0!</v>
      </c>
      <c r="J53">
        <v>906.3</v>
      </c>
      <c r="K53">
        <v>0.22952664680569351</v>
      </c>
      <c r="L53">
        <v>0.22952664680569351</v>
      </c>
      <c r="M53">
        <v>1</v>
      </c>
      <c r="N53">
        <v>906.3</v>
      </c>
      <c r="O53">
        <v>4.7</v>
      </c>
      <c r="P53">
        <v>0.22952664680569351</v>
      </c>
      <c r="Q53">
        <v>906.3</v>
      </c>
      <c r="R53" t="e">
        <v>#DIV/0!</v>
      </c>
      <c r="S53" t="e">
        <v>#DIV/0!</v>
      </c>
      <c r="X53" t="e">
        <v>#DIV/0!</v>
      </c>
      <c r="Y53" t="e">
        <v>#DIV/0!</v>
      </c>
      <c r="Z53">
        <v>906.3</v>
      </c>
      <c r="AA53">
        <v>0.22952664680569351</v>
      </c>
      <c r="AB53">
        <v>0.22952664680569351</v>
      </c>
      <c r="AC53">
        <v>1</v>
      </c>
      <c r="AD53">
        <v>906.3</v>
      </c>
      <c r="AE53">
        <v>4.7</v>
      </c>
      <c r="AF53">
        <v>0.22952664680569351</v>
      </c>
      <c r="AG53">
        <v>906.3</v>
      </c>
      <c r="AH53">
        <v>906.3</v>
      </c>
      <c r="AI53">
        <v>0.22952664680569351</v>
      </c>
      <c r="AJ53">
        <v>0.22952664680569351</v>
      </c>
      <c r="AK53">
        <v>1</v>
      </c>
      <c r="AL53">
        <v>906.3</v>
      </c>
      <c r="AM53">
        <v>4.7</v>
      </c>
      <c r="AN53">
        <v>0.22952664680569351</v>
      </c>
      <c r="AO53">
        <v>906.3</v>
      </c>
    </row>
    <row r="54" spans="1:41" x14ac:dyDescent="0.25">
      <c r="A54" s="10" t="s">
        <v>24</v>
      </c>
      <c r="B54" t="e">
        <v>#DIV/0!</v>
      </c>
      <c r="C54" t="e">
        <v>#DIV/0!</v>
      </c>
      <c r="H54" t="e">
        <v>#DIV/0!</v>
      </c>
      <c r="I54" t="e">
        <v>#DIV/0!</v>
      </c>
      <c r="J54" t="e">
        <v>#DIV/0!</v>
      </c>
      <c r="K54" t="e">
        <v>#DIV/0!</v>
      </c>
      <c r="P54" t="e">
        <v>#DIV/0!</v>
      </c>
      <c r="Q54" t="e">
        <v>#DIV/0!</v>
      </c>
      <c r="R54">
        <v>424.78333333333336</v>
      </c>
      <c r="S54">
        <v>0.25591556479774002</v>
      </c>
      <c r="T54">
        <v>1.0410179111123501</v>
      </c>
      <c r="U54">
        <v>4</v>
      </c>
      <c r="V54">
        <v>6371.75</v>
      </c>
      <c r="W54">
        <v>13.5</v>
      </c>
      <c r="X54">
        <v>0.25591556479774002</v>
      </c>
      <c r="Y54">
        <v>424.78333333333336</v>
      </c>
      <c r="Z54">
        <v>424.78333333333336</v>
      </c>
      <c r="AA54">
        <v>0.25591556479774002</v>
      </c>
      <c r="AB54">
        <v>1.0410179111123501</v>
      </c>
      <c r="AC54">
        <v>4</v>
      </c>
      <c r="AD54">
        <v>6371.75</v>
      </c>
      <c r="AE54">
        <v>13.5</v>
      </c>
      <c r="AF54">
        <v>0.25591556479774002</v>
      </c>
      <c r="AG54">
        <v>424.78333333333336</v>
      </c>
      <c r="AH54">
        <v>424.78333333333336</v>
      </c>
      <c r="AI54">
        <v>0.25591556479774002</v>
      </c>
      <c r="AJ54">
        <v>1.0410179111123501</v>
      </c>
      <c r="AK54">
        <v>4</v>
      </c>
      <c r="AL54">
        <v>6371.75</v>
      </c>
      <c r="AM54">
        <v>13.5</v>
      </c>
      <c r="AN54">
        <v>0.25591556479774002</v>
      </c>
      <c r="AO54">
        <v>424.78333333333336</v>
      </c>
    </row>
    <row r="55" spans="1:41" x14ac:dyDescent="0.25">
      <c r="A55" s="9" t="s">
        <v>33</v>
      </c>
      <c r="B55">
        <v>1078.1375</v>
      </c>
      <c r="C55">
        <v>0.27584839596062655</v>
      </c>
      <c r="D55">
        <v>1.1584612208268701</v>
      </c>
      <c r="E55">
        <v>4</v>
      </c>
      <c r="F55">
        <v>8625.1</v>
      </c>
      <c r="G55">
        <v>17.3</v>
      </c>
      <c r="H55">
        <v>0.27584839596062655</v>
      </c>
      <c r="I55">
        <v>1078.1375</v>
      </c>
      <c r="J55">
        <v>729.82500000000005</v>
      </c>
      <c r="K55">
        <v>0.31730209296749223</v>
      </c>
      <c r="L55">
        <v>0.60249933268370492</v>
      </c>
      <c r="M55">
        <v>2</v>
      </c>
      <c r="N55">
        <v>2919.3</v>
      </c>
      <c r="O55">
        <v>9.3999999999999986</v>
      </c>
      <c r="P55">
        <v>0.31730209296749223</v>
      </c>
      <c r="Q55">
        <v>729.82500000000005</v>
      </c>
      <c r="R55">
        <v>793.92</v>
      </c>
      <c r="S55">
        <v>0.32256398629584843</v>
      </c>
      <c r="T55">
        <v>1.5966720220752377</v>
      </c>
      <c r="U55">
        <v>5</v>
      </c>
      <c r="V55">
        <v>15878.4</v>
      </c>
      <c r="W55">
        <v>17.8</v>
      </c>
      <c r="X55">
        <v>0.32256398629584843</v>
      </c>
      <c r="Y55">
        <v>793.92</v>
      </c>
      <c r="Z55">
        <v>856.96249999999998</v>
      </c>
      <c r="AA55">
        <v>0.30731070496083551</v>
      </c>
      <c r="AB55">
        <v>3.357632575585813</v>
      </c>
      <c r="AC55">
        <v>11</v>
      </c>
      <c r="AD55">
        <v>27422.799999999999</v>
      </c>
      <c r="AE55">
        <v>44.5</v>
      </c>
      <c r="AF55">
        <v>0.30731070496083551</v>
      </c>
      <c r="AG55">
        <v>856.96249999999998</v>
      </c>
      <c r="AH55">
        <v>856.96249999999998</v>
      </c>
      <c r="AI55">
        <v>0.30731070496083551</v>
      </c>
      <c r="AJ55">
        <v>3.357632575585813</v>
      </c>
      <c r="AK55">
        <v>11</v>
      </c>
      <c r="AL55">
        <v>27422.799999999999</v>
      </c>
      <c r="AM55">
        <v>44.5</v>
      </c>
      <c r="AN55">
        <v>0.30731070496083551</v>
      </c>
      <c r="AO55">
        <v>856.96249999999998</v>
      </c>
    </row>
    <row r="56" spans="1:41" x14ac:dyDescent="0.25">
      <c r="A56" s="10" t="s">
        <v>29</v>
      </c>
      <c r="B56">
        <v>1082.05</v>
      </c>
      <c r="C56">
        <v>0.27904440645071854</v>
      </c>
      <c r="D56">
        <v>0.59345745859727561</v>
      </c>
      <c r="E56">
        <v>2</v>
      </c>
      <c r="F56">
        <v>4328.2</v>
      </c>
      <c r="G56">
        <v>8.9</v>
      </c>
      <c r="H56">
        <v>0.27904440645071854</v>
      </c>
      <c r="I56">
        <v>1082.05</v>
      </c>
      <c r="J56">
        <v>740.35</v>
      </c>
      <c r="K56">
        <v>0.33202314220751444</v>
      </c>
      <c r="L56">
        <v>0.33202314220751444</v>
      </c>
      <c r="M56">
        <v>1</v>
      </c>
      <c r="N56">
        <v>2221.0500000000002</v>
      </c>
      <c r="O56">
        <v>4.5999999999999996</v>
      </c>
      <c r="P56">
        <v>0.33202314220751444</v>
      </c>
      <c r="Q56">
        <v>740.35</v>
      </c>
      <c r="R56">
        <v>902</v>
      </c>
      <c r="S56">
        <v>0.29480875831485592</v>
      </c>
      <c r="T56">
        <v>0.29480875831485592</v>
      </c>
      <c r="U56">
        <v>1</v>
      </c>
      <c r="V56">
        <v>3608</v>
      </c>
      <c r="W56">
        <v>3.9</v>
      </c>
      <c r="X56">
        <v>0.29480875831485592</v>
      </c>
      <c r="Y56">
        <v>902</v>
      </c>
      <c r="Z56">
        <v>923.38636363636363</v>
      </c>
      <c r="AA56">
        <v>0.29622880208717911</v>
      </c>
      <c r="AB56">
        <v>1.220289359119646</v>
      </c>
      <c r="AC56">
        <v>4</v>
      </c>
      <c r="AD56">
        <v>10157.25</v>
      </c>
      <c r="AE56">
        <v>17.399999999999999</v>
      </c>
      <c r="AF56">
        <v>0.29622880208717911</v>
      </c>
      <c r="AG56">
        <v>923.38636363636363</v>
      </c>
      <c r="AH56">
        <v>923.38636363636363</v>
      </c>
      <c r="AI56">
        <v>0.29622880208717911</v>
      </c>
      <c r="AJ56">
        <v>1.220289359119646</v>
      </c>
      <c r="AK56">
        <v>4</v>
      </c>
      <c r="AL56">
        <v>10157.25</v>
      </c>
      <c r="AM56">
        <v>17.399999999999999</v>
      </c>
      <c r="AN56">
        <v>0.29622880208717911</v>
      </c>
      <c r="AO56">
        <v>923.38636363636363</v>
      </c>
    </row>
    <row r="57" spans="1:41" x14ac:dyDescent="0.25">
      <c r="A57" s="10" t="s">
        <v>45</v>
      </c>
      <c r="B57">
        <v>1074.2249999999999</v>
      </c>
      <c r="C57">
        <v>0.27262910470339086</v>
      </c>
      <c r="D57">
        <v>0.56500376222959436</v>
      </c>
      <c r="E57">
        <v>2</v>
      </c>
      <c r="F57">
        <v>4296.8999999999996</v>
      </c>
      <c r="G57">
        <v>8.3999999999999986</v>
      </c>
      <c r="H57">
        <v>0.27262910470339086</v>
      </c>
      <c r="I57">
        <v>1074.2249999999999</v>
      </c>
      <c r="J57" t="e">
        <v>#DIV/0!</v>
      </c>
      <c r="K57" t="e">
        <v>#DIV/0!</v>
      </c>
      <c r="P57" t="e">
        <v>#DIV/0!</v>
      </c>
      <c r="Q57" t="e">
        <v>#DIV/0!</v>
      </c>
      <c r="R57">
        <v>939.17777777777781</v>
      </c>
      <c r="S57">
        <v>0.34552682015001301</v>
      </c>
      <c r="T57">
        <v>0.69549353568172423</v>
      </c>
      <c r="U57">
        <v>2</v>
      </c>
      <c r="V57">
        <v>8452.6</v>
      </c>
      <c r="W57">
        <v>7.1</v>
      </c>
      <c r="X57">
        <v>0.34552682015001301</v>
      </c>
      <c r="Y57">
        <v>939.17777777777781</v>
      </c>
      <c r="Z57">
        <v>980.73076923076928</v>
      </c>
      <c r="AA57">
        <v>0.32095846895956703</v>
      </c>
      <c r="AB57">
        <v>1.2604972979113187</v>
      </c>
      <c r="AC57">
        <v>4</v>
      </c>
      <c r="AD57">
        <v>12749.5</v>
      </c>
      <c r="AE57">
        <v>15.499999999999998</v>
      </c>
      <c r="AF57">
        <v>0.32095846895956703</v>
      </c>
      <c r="AG57">
        <v>980.73076923076928</v>
      </c>
      <c r="AH57">
        <v>980.73076923076928</v>
      </c>
      <c r="AI57">
        <v>0.32095846895956703</v>
      </c>
      <c r="AJ57">
        <v>1.2604972979113187</v>
      </c>
      <c r="AK57">
        <v>4</v>
      </c>
      <c r="AL57">
        <v>12749.5</v>
      </c>
      <c r="AM57">
        <v>15.499999999999998</v>
      </c>
      <c r="AN57">
        <v>0.32095846895956703</v>
      </c>
      <c r="AO57">
        <v>980.73076923076928</v>
      </c>
    </row>
    <row r="58" spans="1:41" x14ac:dyDescent="0.25">
      <c r="A58" s="10" t="s">
        <v>24</v>
      </c>
      <c r="B58" t="e">
        <v>#DIV/0!</v>
      </c>
      <c r="C58" t="e">
        <v>#DIV/0!</v>
      </c>
      <c r="H58" t="e">
        <v>#DIV/0!</v>
      </c>
      <c r="I58" t="e">
        <v>#DIV/0!</v>
      </c>
      <c r="J58">
        <v>698.25</v>
      </c>
      <c r="K58">
        <v>0.27047619047619048</v>
      </c>
      <c r="L58">
        <v>0.27047619047619048</v>
      </c>
      <c r="M58">
        <v>1</v>
      </c>
      <c r="N58">
        <v>698.25</v>
      </c>
      <c r="O58">
        <v>4.8</v>
      </c>
      <c r="P58">
        <v>0.27047619047619048</v>
      </c>
      <c r="Q58">
        <v>698.25</v>
      </c>
      <c r="R58">
        <v>545.4</v>
      </c>
      <c r="S58">
        <v>0.297954319241448</v>
      </c>
      <c r="T58">
        <v>0.60636972807865752</v>
      </c>
      <c r="U58">
        <v>2</v>
      </c>
      <c r="V58">
        <v>3817.8</v>
      </c>
      <c r="W58">
        <v>6.8</v>
      </c>
      <c r="X58">
        <v>0.297954319241448</v>
      </c>
      <c r="Y58">
        <v>545.4</v>
      </c>
      <c r="Z58">
        <v>564.50625000000002</v>
      </c>
      <c r="AA58">
        <v>0.29370578270834025</v>
      </c>
      <c r="AB58">
        <v>0.87684591855484806</v>
      </c>
      <c r="AC58">
        <v>3</v>
      </c>
      <c r="AD58">
        <v>4516.05</v>
      </c>
      <c r="AE58">
        <v>11.6</v>
      </c>
      <c r="AF58">
        <v>0.29370578270834025</v>
      </c>
      <c r="AG58">
        <v>564.50625000000002</v>
      </c>
      <c r="AH58">
        <v>564.50625000000002</v>
      </c>
      <c r="AI58">
        <v>0.29370578270834025</v>
      </c>
      <c r="AJ58">
        <v>0.87684591855484806</v>
      </c>
      <c r="AK58">
        <v>3</v>
      </c>
      <c r="AL58">
        <v>4516.05</v>
      </c>
      <c r="AM58">
        <v>11.6</v>
      </c>
      <c r="AN58">
        <v>0.29370578270834025</v>
      </c>
      <c r="AO58">
        <v>564.50625000000002</v>
      </c>
    </row>
    <row r="59" spans="1:41" x14ac:dyDescent="0.25">
      <c r="A59" s="5" t="s">
        <v>211</v>
      </c>
      <c r="B59">
        <v>966.34750000000008</v>
      </c>
      <c r="C59">
        <v>0.29002765568286765</v>
      </c>
      <c r="D59">
        <v>6.3678239678559114</v>
      </c>
      <c r="E59">
        <v>22</v>
      </c>
      <c r="F59">
        <v>57980.850000000006</v>
      </c>
      <c r="G59">
        <v>94.199999999999989</v>
      </c>
      <c r="H59">
        <v>0.29002765568286765</v>
      </c>
      <c r="I59">
        <v>966.34750000000008</v>
      </c>
      <c r="J59">
        <v>721.12258064516141</v>
      </c>
      <c r="K59">
        <v>0.30289579866516364</v>
      </c>
      <c r="L59">
        <v>6.3553273266855284</v>
      </c>
      <c r="M59">
        <v>22</v>
      </c>
      <c r="N59">
        <v>44709.600000000006</v>
      </c>
      <c r="O59">
        <v>105.19999999999999</v>
      </c>
      <c r="P59">
        <v>0.30289579866516364</v>
      </c>
      <c r="Q59">
        <v>721.12258064516141</v>
      </c>
      <c r="R59">
        <v>830.64809782608677</v>
      </c>
      <c r="S59">
        <v>0.30774025651133458</v>
      </c>
      <c r="T59">
        <v>17.209719320710285</v>
      </c>
      <c r="U59">
        <v>56</v>
      </c>
      <c r="V59">
        <v>152839.24999999997</v>
      </c>
      <c r="W59">
        <v>199.70000000000005</v>
      </c>
      <c r="X59">
        <v>0.30774025651133458</v>
      </c>
      <c r="Y59">
        <v>830.64809782608677</v>
      </c>
      <c r="Z59">
        <v>835.06437908496719</v>
      </c>
      <c r="AA59">
        <v>0.30287356029455675</v>
      </c>
      <c r="AB59">
        <v>29.932870615251733</v>
      </c>
      <c r="AC59">
        <v>100</v>
      </c>
      <c r="AD59">
        <v>255529.69999999995</v>
      </c>
      <c r="AE59">
        <v>399.09999999999997</v>
      </c>
      <c r="AF59">
        <v>0.30287356029455675</v>
      </c>
      <c r="AG59">
        <v>835.06437908496719</v>
      </c>
      <c r="AH59">
        <v>835.06437908496719</v>
      </c>
      <c r="AI59">
        <v>0.30287356029455675</v>
      </c>
      <c r="AJ59">
        <v>29.932870615251733</v>
      </c>
      <c r="AK59">
        <v>100</v>
      </c>
      <c r="AL59">
        <v>255529.69999999995</v>
      </c>
      <c r="AM59">
        <v>399.09999999999997</v>
      </c>
      <c r="AN59">
        <v>0.30287356029455675</v>
      </c>
      <c r="AO59">
        <v>835.06437908496719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A9F164-611A-4C45-BF54-E0E161FDC730}">
  <sheetPr codeName="Hoja2"/>
  <dimension ref="A1:AQ210"/>
  <sheetViews>
    <sheetView topLeftCell="B1" zoomScaleNormal="100" workbookViewId="0">
      <selection activeCell="H8" sqref="H8"/>
    </sheetView>
  </sheetViews>
  <sheetFormatPr baseColWidth="10" defaultRowHeight="15" x14ac:dyDescent="0.25"/>
  <cols>
    <col min="2" max="2" width="10.5703125" style="7" customWidth="1"/>
    <col min="8" max="9" width="11.42578125" style="3"/>
    <col min="13" max="13" width="18.42578125" style="3" customWidth="1"/>
    <col min="14" max="14" width="11.42578125" style="3"/>
    <col min="16" max="16" width="14.140625" customWidth="1"/>
    <col min="17" max="17" width="16.140625" style="5" customWidth="1"/>
    <col min="18" max="18" width="16.7109375" customWidth="1"/>
    <col min="20" max="20" width="12.28515625" customWidth="1"/>
    <col min="21" max="21" width="17.5703125" customWidth="1"/>
    <col min="34" max="34" width="11.85546875" bestFit="1" customWidth="1"/>
    <col min="36" max="36" width="11.7109375" customWidth="1"/>
  </cols>
  <sheetData>
    <row r="1" spans="1:43" x14ac:dyDescent="0.25">
      <c r="A1" s="1" t="s">
        <v>0</v>
      </c>
      <c r="B1" s="6" t="s">
        <v>1</v>
      </c>
      <c r="C1" s="1" t="s">
        <v>2</v>
      </c>
      <c r="D1" s="1" t="s">
        <v>3</v>
      </c>
      <c r="E1" s="1" t="s">
        <v>4</v>
      </c>
      <c r="F1" s="1" t="s">
        <v>5</v>
      </c>
      <c r="G1" s="1" t="s">
        <v>6</v>
      </c>
      <c r="H1" s="37" t="s">
        <v>7</v>
      </c>
      <c r="I1" s="37" t="s">
        <v>8</v>
      </c>
      <c r="J1" s="1" t="s">
        <v>9</v>
      </c>
      <c r="K1" s="1" t="s">
        <v>10</v>
      </c>
      <c r="L1" s="1" t="s">
        <v>11</v>
      </c>
      <c r="M1" s="37" t="s">
        <v>12</v>
      </c>
      <c r="N1" s="37" t="s">
        <v>13</v>
      </c>
      <c r="O1" s="1" t="s">
        <v>14</v>
      </c>
      <c r="P1" s="1" t="s">
        <v>15</v>
      </c>
      <c r="Q1" s="4" t="s">
        <v>16</v>
      </c>
      <c r="R1" s="1" t="s">
        <v>17</v>
      </c>
      <c r="S1" s="1" t="s">
        <v>18</v>
      </c>
      <c r="T1" s="1" t="s">
        <v>19</v>
      </c>
      <c r="U1" s="1" t="s">
        <v>20</v>
      </c>
      <c r="V1" s="1" t="s">
        <v>200</v>
      </c>
      <c r="W1" s="1" t="s">
        <v>201</v>
      </c>
      <c r="X1" s="1" t="s">
        <v>202</v>
      </c>
      <c r="Y1" s="1" t="s">
        <v>267</v>
      </c>
      <c r="Z1" s="1" t="s">
        <v>268</v>
      </c>
      <c r="AA1" s="1" t="s">
        <v>274</v>
      </c>
      <c r="AB1" t="s">
        <v>245</v>
      </c>
      <c r="AC1" s="11">
        <f>AVERAGE(J2:J101)</f>
        <v>2555.297</v>
      </c>
      <c r="AD1" s="11"/>
      <c r="AE1" s="11"/>
      <c r="AF1" s="11"/>
      <c r="AG1" s="11" t="s">
        <v>269</v>
      </c>
      <c r="AH1" s="11">
        <f>_xlfn.QUARTILE.INC(J2:J101,1)</f>
        <v>1379</v>
      </c>
      <c r="AJ1" t="s">
        <v>277</v>
      </c>
      <c r="AN1" s="11"/>
      <c r="AO1" s="11"/>
      <c r="AP1" s="11"/>
      <c r="AQ1" s="11"/>
    </row>
    <row r="2" spans="1:43" x14ac:dyDescent="0.25">
      <c r="A2" t="s">
        <v>21</v>
      </c>
      <c r="B2" s="7">
        <v>45373</v>
      </c>
      <c r="C2" t="s">
        <v>22</v>
      </c>
      <c r="D2" t="s">
        <v>23</v>
      </c>
      <c r="E2" t="s">
        <v>24</v>
      </c>
      <c r="F2" t="s">
        <v>25</v>
      </c>
      <c r="G2" t="s">
        <v>26</v>
      </c>
      <c r="H2" s="3">
        <v>528</v>
      </c>
      <c r="I2" s="3">
        <v>2</v>
      </c>
      <c r="J2">
        <v>1056</v>
      </c>
      <c r="K2">
        <v>388.26</v>
      </c>
      <c r="L2">
        <v>279.48</v>
      </c>
      <c r="M2" s="3">
        <v>4.8</v>
      </c>
      <c r="N2" s="3">
        <v>1</v>
      </c>
      <c r="O2">
        <v>0</v>
      </c>
      <c r="P2" t="s">
        <v>27</v>
      </c>
      <c r="Q2" s="5">
        <f>L2/J2</f>
        <v>0.2646590909090909</v>
      </c>
      <c r="R2" t="str">
        <f>IF(M2&gt;4.5,"Premium",IF(M2&gt;4,"Estandar","Riesgo"))</f>
        <v>Premium</v>
      </c>
      <c r="S2" s="3" t="str">
        <f>"Q"&amp;ROUNDUP(MONTH(B2)/3,0)</f>
        <v>Q1</v>
      </c>
      <c r="T2" s="3">
        <f>WEEKDAY(B2)</f>
        <v>6</v>
      </c>
      <c r="U2" t="str">
        <f>IF(N2&lt;=2,"Excelente",IF(N2&lt;=4,"Buena","Mejorable"))</f>
        <v>Excelente</v>
      </c>
      <c r="V2">
        <f>VLOOKUP(G2,Datos_Empleados!B:E,4,FALSE)</f>
        <v>12</v>
      </c>
      <c r="W2">
        <f>VLOOKUP(G2,Datos_Empleados!B:I,8,FALSE)</f>
        <v>4.5</v>
      </c>
      <c r="X2">
        <f>INDEX(Datos_Productos!G:G,MATCH(F2,Datos_Productos!B:B,0))</f>
        <v>44</v>
      </c>
      <c r="Y2">
        <f>(J2-AVERAGE($J$2:$J$101))/_xlfn.STDEV.S($J$2:$J$101)</f>
        <v>-1.061324310759995</v>
      </c>
      <c r="Z2" t="str">
        <f>IF(ABS(Y2)&gt;2.5,"Sí","No")</f>
        <v>No</v>
      </c>
      <c r="AA2" t="str">
        <f>IF(OR(J2&lt;$AH$4,J2&gt;$AH$5),"Sí","No")</f>
        <v>No</v>
      </c>
      <c r="AB2" t="s">
        <v>336</v>
      </c>
      <c r="AC2">
        <f>_xlfn.STDEV.S(J2:J101)</f>
        <v>1412.6662178560489</v>
      </c>
      <c r="AG2" s="11" t="s">
        <v>270</v>
      </c>
      <c r="AH2" s="11">
        <f>_xlfn.QUARTILE.INC(J2:J101,3)</f>
        <v>3434.25</v>
      </c>
      <c r="AJ2" t="s">
        <v>275</v>
      </c>
      <c r="AK2">
        <f>_xlfn.STDEV.P(J2:J101)</f>
        <v>1405.585139591692</v>
      </c>
    </row>
    <row r="3" spans="1:43" x14ac:dyDescent="0.25">
      <c r="A3" t="s">
        <v>28</v>
      </c>
      <c r="B3" s="7">
        <v>45346</v>
      </c>
      <c r="C3" t="s">
        <v>22</v>
      </c>
      <c r="D3" t="s">
        <v>23</v>
      </c>
      <c r="E3" t="s">
        <v>29</v>
      </c>
      <c r="F3" t="s">
        <v>30</v>
      </c>
      <c r="G3" t="s">
        <v>26</v>
      </c>
      <c r="H3" s="3">
        <v>1317</v>
      </c>
      <c r="I3" s="3">
        <v>5</v>
      </c>
      <c r="J3">
        <v>6585</v>
      </c>
      <c r="K3">
        <v>938.03</v>
      </c>
      <c r="L3">
        <v>1894.84</v>
      </c>
      <c r="M3" s="3">
        <v>4.4000000000000004</v>
      </c>
      <c r="N3" s="3">
        <v>6</v>
      </c>
      <c r="O3">
        <v>0</v>
      </c>
      <c r="P3" t="s">
        <v>27</v>
      </c>
      <c r="Q3" s="5">
        <f t="shared" ref="Q3:Q66" si="0">L3/J3</f>
        <v>0.28775094912680332</v>
      </c>
      <c r="R3" t="str">
        <f t="shared" ref="R3:R66" si="1">IF(M3&gt;4.5,"Premium",IF(M3&gt;4,"Estandar","Riesgo"))</f>
        <v>Estandar</v>
      </c>
      <c r="S3" s="3" t="str">
        <f t="shared" ref="S3:S66" si="2">"Q"&amp;ROUNDUP(MONTH(B3)/3,0)</f>
        <v>Q1</v>
      </c>
      <c r="T3" s="3">
        <f t="shared" ref="T3:T66" si="3">WEEKDAY(B3)</f>
        <v>7</v>
      </c>
      <c r="U3" t="str">
        <f t="shared" ref="U3:U66" si="4">IF(N3&lt;=2,"Excelente",IF(N3&lt;=4,"Buena","Mejorable"))</f>
        <v>Mejorable</v>
      </c>
      <c r="V3">
        <f>VLOOKUP(G3,Datos_Empleados!B:E,4,FALSE)</f>
        <v>12</v>
      </c>
      <c r="W3">
        <f>VLOOKUP(G3,Datos_Empleados!B:I,8,FALSE)</f>
        <v>4.5</v>
      </c>
      <c r="X3">
        <f>INDEX(Datos_Productos!G:G,MATCH(F3,Datos_Productos!B:B,0))</f>
        <v>41</v>
      </c>
      <c r="Y3">
        <f t="shared" ref="Y3:Y66" si="5">(J3-AVERAGE($J$2:$J$101))/_xlfn.STDEV.S($J$2:$J$101)</f>
        <v>2.8525514017852927</v>
      </c>
      <c r="Z3" t="str">
        <f t="shared" ref="Z3:Z66" si="6">IF(ABS(Y3)&gt;2.5,"Sí","No")</f>
        <v>Sí</v>
      </c>
      <c r="AA3" t="str">
        <f t="shared" ref="AA3:AA66" si="7">IF(OR(J3&lt;$AH$4,J3&gt;$AH$5),"Sí","No")</f>
        <v>Sí</v>
      </c>
      <c r="AB3" t="s">
        <v>356</v>
      </c>
      <c r="AC3">
        <f>COUNT(J2:J101)</f>
        <v>100</v>
      </c>
      <c r="AG3" s="11" t="s">
        <v>271</v>
      </c>
      <c r="AH3">
        <f>AH2-AH1</f>
        <v>2055.25</v>
      </c>
      <c r="AJ3" t="s">
        <v>276</v>
      </c>
      <c r="AK3" cm="1">
        <f t="array" ref="AK3">_xlfn.STDEV.P(IF(AA2:AA101="No",J2:J101))</f>
        <v>1352.7541187736572</v>
      </c>
    </row>
    <row r="4" spans="1:43" x14ac:dyDescent="0.25">
      <c r="A4" t="s">
        <v>31</v>
      </c>
      <c r="B4" s="7">
        <v>45345</v>
      </c>
      <c r="C4" t="s">
        <v>32</v>
      </c>
      <c r="D4" t="s">
        <v>33</v>
      </c>
      <c r="E4" t="s">
        <v>24</v>
      </c>
      <c r="F4" t="s">
        <v>25</v>
      </c>
      <c r="G4" t="s">
        <v>34</v>
      </c>
      <c r="H4" s="3">
        <v>463</v>
      </c>
      <c r="I4" s="3">
        <v>4</v>
      </c>
      <c r="J4">
        <v>1666.8</v>
      </c>
      <c r="K4">
        <v>303.52999999999997</v>
      </c>
      <c r="L4">
        <v>574.09</v>
      </c>
      <c r="M4" s="3">
        <v>3.4</v>
      </c>
      <c r="N4" s="3">
        <v>7</v>
      </c>
      <c r="O4">
        <v>0.1</v>
      </c>
      <c r="P4" t="s">
        <v>35</v>
      </c>
      <c r="Q4" s="5">
        <f t="shared" si="0"/>
        <v>0.3444264458843293</v>
      </c>
      <c r="R4" t="str">
        <f t="shared" si="1"/>
        <v>Riesgo</v>
      </c>
      <c r="S4" s="3" t="str">
        <f t="shared" si="2"/>
        <v>Q1</v>
      </c>
      <c r="T4" s="3">
        <f t="shared" si="3"/>
        <v>6</v>
      </c>
      <c r="U4" t="str">
        <f t="shared" si="4"/>
        <v>Mejorable</v>
      </c>
      <c r="V4">
        <f>VLOOKUP(G4,Datos_Empleados!B:E,4,FALSE)</f>
        <v>37</v>
      </c>
      <c r="W4">
        <f>VLOOKUP(G4,Datos_Empleados!B:I,8,FALSE)</f>
        <v>3.6</v>
      </c>
      <c r="X4">
        <f>INDEX(Datos_Productos!G:G,MATCH(F4,Datos_Productos!B:B,0))</f>
        <v>44</v>
      </c>
      <c r="Y4">
        <f t="shared" si="5"/>
        <v>-0.62895041218472614</v>
      </c>
      <c r="Z4" t="str">
        <f t="shared" si="6"/>
        <v>No</v>
      </c>
      <c r="AA4" t="str">
        <f t="shared" si="7"/>
        <v>No</v>
      </c>
      <c r="AB4" t="s">
        <v>338</v>
      </c>
      <c r="AC4">
        <f>TINV(0.05,AC3-1)</f>
        <v>1.9842169515864165</v>
      </c>
      <c r="AG4" s="11" t="s">
        <v>272</v>
      </c>
      <c r="AH4">
        <f>AH1-1.5*AH3</f>
        <v>-1703.875</v>
      </c>
    </row>
    <row r="5" spans="1:43" x14ac:dyDescent="0.25">
      <c r="A5" t="s">
        <v>36</v>
      </c>
      <c r="B5" s="7">
        <v>45305</v>
      </c>
      <c r="C5" t="s">
        <v>22</v>
      </c>
      <c r="D5" t="s">
        <v>33</v>
      </c>
      <c r="E5" t="s">
        <v>29</v>
      </c>
      <c r="F5" t="s">
        <v>37</v>
      </c>
      <c r="G5" t="s">
        <v>38</v>
      </c>
      <c r="H5" s="3">
        <v>1070</v>
      </c>
      <c r="I5" s="3">
        <v>1</v>
      </c>
      <c r="J5">
        <v>909.5</v>
      </c>
      <c r="K5">
        <v>756.75</v>
      </c>
      <c r="L5">
        <v>266.26</v>
      </c>
      <c r="M5" s="3">
        <v>4.9000000000000004</v>
      </c>
      <c r="N5" s="3">
        <v>4</v>
      </c>
      <c r="O5">
        <v>0.15</v>
      </c>
      <c r="P5" t="s">
        <v>39</v>
      </c>
      <c r="Q5" s="5">
        <f t="shared" si="0"/>
        <v>0.29275426058273774</v>
      </c>
      <c r="R5" t="str">
        <f t="shared" si="1"/>
        <v>Premium</v>
      </c>
      <c r="S5" s="3" t="str">
        <f t="shared" si="2"/>
        <v>Q1</v>
      </c>
      <c r="T5" s="3">
        <f t="shared" si="3"/>
        <v>1</v>
      </c>
      <c r="U5" t="str">
        <f t="shared" si="4"/>
        <v>Buena</v>
      </c>
      <c r="V5">
        <f>VLOOKUP(G5,Datos_Empleados!B:E,4,FALSE)</f>
        <v>32</v>
      </c>
      <c r="W5">
        <f>VLOOKUP(G5,Datos_Empleados!B:I,8,FALSE)</f>
        <v>4</v>
      </c>
      <c r="X5">
        <f>INDEX(Datos_Productos!G:G,MATCH(F5,Datos_Productos!B:B,0))</f>
        <v>41</v>
      </c>
      <c r="Y5">
        <f t="shared" si="5"/>
        <v>-1.1650289213383789</v>
      </c>
      <c r="Z5" t="str">
        <f t="shared" si="6"/>
        <v>No</v>
      </c>
      <c r="AA5" t="str">
        <f t="shared" si="7"/>
        <v>No</v>
      </c>
      <c r="AB5" t="s">
        <v>337</v>
      </c>
      <c r="AC5">
        <f>AC2/SQRT(AC3)</f>
        <v>141.26662178560488</v>
      </c>
      <c r="AG5" s="11" t="s">
        <v>273</v>
      </c>
      <c r="AH5">
        <f>AH2+1.5*AH3</f>
        <v>6517.125</v>
      </c>
    </row>
    <row r="6" spans="1:43" x14ac:dyDescent="0.25">
      <c r="A6" t="s">
        <v>40</v>
      </c>
      <c r="B6" s="7">
        <v>45362</v>
      </c>
      <c r="C6" t="s">
        <v>41</v>
      </c>
      <c r="D6" t="s">
        <v>42</v>
      </c>
      <c r="E6" t="s">
        <v>24</v>
      </c>
      <c r="F6" t="s">
        <v>25</v>
      </c>
      <c r="G6" t="s">
        <v>26</v>
      </c>
      <c r="H6" s="3">
        <v>371</v>
      </c>
      <c r="I6" s="3">
        <v>1</v>
      </c>
      <c r="J6">
        <v>352.45</v>
      </c>
      <c r="K6">
        <v>279.95999999999998</v>
      </c>
      <c r="L6">
        <v>86.49</v>
      </c>
      <c r="M6" s="3">
        <v>5</v>
      </c>
      <c r="N6" s="3">
        <v>7</v>
      </c>
      <c r="O6">
        <v>0.05</v>
      </c>
      <c r="P6" t="s">
        <v>39</v>
      </c>
      <c r="Q6" s="5">
        <f t="shared" si="0"/>
        <v>0.24539651014328273</v>
      </c>
      <c r="R6" t="str">
        <f t="shared" si="1"/>
        <v>Premium</v>
      </c>
      <c r="S6" s="3" t="str">
        <f t="shared" si="2"/>
        <v>Q1</v>
      </c>
      <c r="T6" s="3">
        <f t="shared" si="3"/>
        <v>2</v>
      </c>
      <c r="U6" t="str">
        <f t="shared" si="4"/>
        <v>Mejorable</v>
      </c>
      <c r="V6">
        <f>VLOOKUP(G6,Datos_Empleados!B:E,4,FALSE)</f>
        <v>12</v>
      </c>
      <c r="W6">
        <f>VLOOKUP(G6,Datos_Empleados!B:I,8,FALSE)</f>
        <v>4.5</v>
      </c>
      <c r="X6">
        <f>INDEX(Datos_Productos!G:G,MATCH(F6,Datos_Productos!B:B,0))</f>
        <v>44</v>
      </c>
      <c r="Y6">
        <f t="shared" si="5"/>
        <v>-1.5593541999915446</v>
      </c>
      <c r="Z6" t="str">
        <f t="shared" si="6"/>
        <v>No</v>
      </c>
      <c r="AA6" t="str">
        <f t="shared" si="7"/>
        <v>No</v>
      </c>
      <c r="AB6" t="s">
        <v>339</v>
      </c>
      <c r="AC6">
        <f>AC1-(AC4*AC5)</f>
        <v>2274.9933743596557</v>
      </c>
      <c r="AG6" s="11" t="s">
        <v>245</v>
      </c>
      <c r="AH6">
        <f>AVERAGE(J:J)</f>
        <v>2555.297</v>
      </c>
    </row>
    <row r="7" spans="1:43" x14ac:dyDescent="0.25">
      <c r="A7" t="s">
        <v>43</v>
      </c>
      <c r="B7" s="7">
        <v>45304</v>
      </c>
      <c r="C7" t="s">
        <v>44</v>
      </c>
      <c r="D7" t="s">
        <v>33</v>
      </c>
      <c r="E7" t="s">
        <v>45</v>
      </c>
      <c r="F7" t="s">
        <v>46</v>
      </c>
      <c r="G7" t="s">
        <v>38</v>
      </c>
      <c r="H7" s="3">
        <v>766</v>
      </c>
      <c r="I7" s="3">
        <v>3</v>
      </c>
      <c r="J7">
        <v>2068.1999999999998</v>
      </c>
      <c r="K7">
        <v>491.7</v>
      </c>
      <c r="L7">
        <v>740.62</v>
      </c>
      <c r="M7" s="3">
        <v>3.5</v>
      </c>
      <c r="N7" s="3">
        <v>6</v>
      </c>
      <c r="O7">
        <v>0.1</v>
      </c>
      <c r="P7" t="s">
        <v>27</v>
      </c>
      <c r="Q7" s="5">
        <f t="shared" si="0"/>
        <v>0.35809882990039649</v>
      </c>
      <c r="R7" t="str">
        <f t="shared" si="1"/>
        <v>Riesgo</v>
      </c>
      <c r="S7" s="3" t="str">
        <f t="shared" si="2"/>
        <v>Q1</v>
      </c>
      <c r="T7" s="3">
        <f t="shared" si="3"/>
        <v>7</v>
      </c>
      <c r="U7" t="str">
        <f t="shared" si="4"/>
        <v>Mejorable</v>
      </c>
      <c r="V7">
        <f>VLOOKUP(G7,Datos_Empleados!B:E,4,FALSE)</f>
        <v>32</v>
      </c>
      <c r="W7">
        <f>VLOOKUP(G7,Datos_Empleados!B:I,8,FALSE)</f>
        <v>4</v>
      </c>
      <c r="X7">
        <f>INDEX(Datos_Productos!G:G,MATCH(F7,Datos_Productos!B:B,0))</f>
        <v>37</v>
      </c>
      <c r="Y7">
        <f t="shared" si="5"/>
        <v>-0.34480685801296307</v>
      </c>
      <c r="Z7" t="str">
        <f t="shared" si="6"/>
        <v>No</v>
      </c>
      <c r="AA7" t="str">
        <f t="shared" si="7"/>
        <v>No</v>
      </c>
      <c r="AB7" t="s">
        <v>340</v>
      </c>
      <c r="AC7">
        <f>AC1+(AC4*AC5)</f>
        <v>2835.6006256403443</v>
      </c>
      <c r="AG7" s="11" t="s">
        <v>274</v>
      </c>
      <c r="AH7">
        <f>AVERAGEIF(AA2:AA101,"No",J2:J101)</f>
        <v>2514.5929292929295</v>
      </c>
    </row>
    <row r="8" spans="1:43" x14ac:dyDescent="0.25">
      <c r="A8" t="s">
        <v>47</v>
      </c>
      <c r="B8" s="7">
        <v>45301</v>
      </c>
      <c r="C8" t="s">
        <v>32</v>
      </c>
      <c r="D8" t="s">
        <v>42</v>
      </c>
      <c r="E8" t="s">
        <v>24</v>
      </c>
      <c r="F8" t="s">
        <v>48</v>
      </c>
      <c r="G8" t="s">
        <v>49</v>
      </c>
      <c r="H8" s="3">
        <v>773</v>
      </c>
      <c r="I8" s="3">
        <v>4</v>
      </c>
      <c r="J8">
        <v>2782.8</v>
      </c>
      <c r="K8">
        <v>616.78</v>
      </c>
      <c r="L8">
        <v>562.39</v>
      </c>
      <c r="M8" s="3">
        <v>4.3</v>
      </c>
      <c r="N8" s="3">
        <v>5</v>
      </c>
      <c r="O8">
        <v>0.1</v>
      </c>
      <c r="P8" t="s">
        <v>39</v>
      </c>
      <c r="Q8" s="5">
        <f t="shared" si="0"/>
        <v>0.20209501221791001</v>
      </c>
      <c r="R8" t="str">
        <f t="shared" si="1"/>
        <v>Estandar</v>
      </c>
      <c r="S8" s="3" t="str">
        <f t="shared" si="2"/>
        <v>Q1</v>
      </c>
      <c r="T8" s="3">
        <f t="shared" si="3"/>
        <v>4</v>
      </c>
      <c r="U8" t="str">
        <f t="shared" si="4"/>
        <v>Mejorable</v>
      </c>
      <c r="V8">
        <f>VLOOKUP(G8,Datos_Empleados!B:E,4,FALSE)</f>
        <v>30</v>
      </c>
      <c r="W8">
        <f>VLOOKUP(G8,Datos_Empleados!B:I,8,FALSE)</f>
        <v>4.2</v>
      </c>
      <c r="X8">
        <f>INDEX(Datos_Productos!G:G,MATCH(F8,Datos_Productos!B:B,0))</f>
        <v>38</v>
      </c>
      <c r="Y8">
        <f t="shared" si="5"/>
        <v>0.16104511959327025</v>
      </c>
      <c r="Z8" t="str">
        <f t="shared" si="6"/>
        <v>No</v>
      </c>
      <c r="AA8" t="str">
        <f t="shared" si="7"/>
        <v>No</v>
      </c>
      <c r="AG8" s="11"/>
    </row>
    <row r="9" spans="1:43" x14ac:dyDescent="0.25">
      <c r="A9" t="s">
        <v>50</v>
      </c>
      <c r="B9" s="7">
        <v>45379</v>
      </c>
      <c r="C9" t="s">
        <v>41</v>
      </c>
      <c r="D9" t="s">
        <v>23</v>
      </c>
      <c r="E9" t="s">
        <v>29</v>
      </c>
      <c r="F9" t="s">
        <v>30</v>
      </c>
      <c r="G9" t="s">
        <v>38</v>
      </c>
      <c r="H9" s="3">
        <v>1210</v>
      </c>
      <c r="I9" s="3">
        <v>3</v>
      </c>
      <c r="J9">
        <v>3630</v>
      </c>
      <c r="K9">
        <v>777.06</v>
      </c>
      <c r="L9">
        <v>1298.83</v>
      </c>
      <c r="M9" s="3">
        <v>4.9000000000000004</v>
      </c>
      <c r="N9" s="3">
        <v>6</v>
      </c>
      <c r="O9">
        <v>0</v>
      </c>
      <c r="P9" t="s">
        <v>35</v>
      </c>
      <c r="Q9" s="5">
        <f t="shared" si="0"/>
        <v>0.35780440771349858</v>
      </c>
      <c r="R9" t="str">
        <f t="shared" si="1"/>
        <v>Premium</v>
      </c>
      <c r="S9" s="3" t="str">
        <f t="shared" si="2"/>
        <v>Q1</v>
      </c>
      <c r="T9" s="3">
        <f t="shared" si="3"/>
        <v>5</v>
      </c>
      <c r="U9" t="str">
        <f t="shared" si="4"/>
        <v>Mejorable</v>
      </c>
      <c r="V9">
        <f>VLOOKUP(G9,Datos_Empleados!B:E,4,FALSE)</f>
        <v>32</v>
      </c>
      <c r="W9">
        <f>VLOOKUP(G9,Datos_Empleados!B:I,8,FALSE)</f>
        <v>4</v>
      </c>
      <c r="X9">
        <f>INDEX(Datos_Productos!G:G,MATCH(F9,Datos_Productos!B:B,0))</f>
        <v>41</v>
      </c>
      <c r="Y9">
        <f t="shared" si="5"/>
        <v>0.76076215769570599</v>
      </c>
      <c r="Z9" t="str">
        <f t="shared" si="6"/>
        <v>No</v>
      </c>
      <c r="AA9" t="str">
        <f t="shared" si="7"/>
        <v>No</v>
      </c>
      <c r="AB9" t="s">
        <v>357</v>
      </c>
      <c r="AG9" s="11" t="s">
        <v>278</v>
      </c>
    </row>
    <row r="10" spans="1:43" x14ac:dyDescent="0.25">
      <c r="A10" t="s">
        <v>51</v>
      </c>
      <c r="B10" s="7">
        <v>45319</v>
      </c>
      <c r="C10" t="s">
        <v>44</v>
      </c>
      <c r="D10" t="s">
        <v>33</v>
      </c>
      <c r="E10" t="s">
        <v>24</v>
      </c>
      <c r="F10" t="s">
        <v>25</v>
      </c>
      <c r="G10" t="s">
        <v>49</v>
      </c>
      <c r="H10" s="3">
        <v>571</v>
      </c>
      <c r="I10" s="3">
        <v>2</v>
      </c>
      <c r="J10">
        <v>1084.9000000000001</v>
      </c>
      <c r="K10">
        <v>427.68</v>
      </c>
      <c r="L10">
        <v>272.31</v>
      </c>
      <c r="M10" s="3">
        <v>4.0999999999999996</v>
      </c>
      <c r="N10" s="3">
        <v>6</v>
      </c>
      <c r="O10">
        <v>0.05</v>
      </c>
      <c r="P10" t="s">
        <v>27</v>
      </c>
      <c r="Q10" s="5">
        <f t="shared" si="0"/>
        <v>0.25100009217439395</v>
      </c>
      <c r="R10" t="str">
        <f t="shared" si="1"/>
        <v>Estandar</v>
      </c>
      <c r="S10" s="3" t="str">
        <f t="shared" si="2"/>
        <v>Q1</v>
      </c>
      <c r="T10" s="3">
        <f t="shared" si="3"/>
        <v>1</v>
      </c>
      <c r="U10" t="str">
        <f t="shared" si="4"/>
        <v>Mejorable</v>
      </c>
      <c r="V10">
        <f>VLOOKUP(G10,Datos_Empleados!B:E,4,FALSE)</f>
        <v>30</v>
      </c>
      <c r="W10">
        <f>VLOOKUP(G10,Datos_Empleados!B:I,8,FALSE)</f>
        <v>4.2</v>
      </c>
      <c r="X10">
        <f>INDEX(Datos_Productos!G:G,MATCH(F10,Datos_Productos!B:B,0))</f>
        <v>44</v>
      </c>
      <c r="Y10">
        <f t="shared" si="5"/>
        <v>-1.0408665411646687</v>
      </c>
      <c r="Z10" t="str">
        <f t="shared" si="6"/>
        <v>No</v>
      </c>
      <c r="AA10" t="str">
        <f t="shared" si="7"/>
        <v>No</v>
      </c>
      <c r="AG10" s="11" t="s">
        <v>279</v>
      </c>
    </row>
    <row r="11" spans="1:43" x14ac:dyDescent="0.25">
      <c r="A11" t="s">
        <v>52</v>
      </c>
      <c r="B11" s="7">
        <v>45346</v>
      </c>
      <c r="C11" t="s">
        <v>44</v>
      </c>
      <c r="D11" t="s">
        <v>33</v>
      </c>
      <c r="E11" t="s">
        <v>29</v>
      </c>
      <c r="F11" t="s">
        <v>30</v>
      </c>
      <c r="G11" t="s">
        <v>53</v>
      </c>
      <c r="H11" s="3">
        <v>893</v>
      </c>
      <c r="I11" s="3">
        <v>1</v>
      </c>
      <c r="J11">
        <v>893</v>
      </c>
      <c r="K11">
        <v>563.1</v>
      </c>
      <c r="L11">
        <v>329.9</v>
      </c>
      <c r="M11" s="3">
        <v>3.3</v>
      </c>
      <c r="N11" s="3">
        <v>6</v>
      </c>
      <c r="O11">
        <v>0</v>
      </c>
      <c r="P11" t="s">
        <v>35</v>
      </c>
      <c r="Q11" s="5">
        <f t="shared" si="0"/>
        <v>0.36942889137737961</v>
      </c>
      <c r="R11" t="str">
        <f t="shared" si="1"/>
        <v>Riesgo</v>
      </c>
      <c r="S11" s="3" t="str">
        <f t="shared" si="2"/>
        <v>Q1</v>
      </c>
      <c r="T11" s="3">
        <f t="shared" si="3"/>
        <v>7</v>
      </c>
      <c r="U11" t="str">
        <f t="shared" si="4"/>
        <v>Mejorable</v>
      </c>
      <c r="V11">
        <f>VLOOKUP(G11,Datos_Empleados!B:E,4,FALSE)</f>
        <v>12</v>
      </c>
      <c r="W11">
        <f>VLOOKUP(G11,Datos_Empleados!B:I,8,FALSE)</f>
        <v>4.3</v>
      </c>
      <c r="X11">
        <f>INDEX(Datos_Productos!G:G,MATCH(F11,Datos_Productos!B:B,0))</f>
        <v>41</v>
      </c>
      <c r="Y11">
        <f t="shared" si="5"/>
        <v>-1.1767089628028384</v>
      </c>
      <c r="Z11" t="str">
        <f t="shared" si="6"/>
        <v>No</v>
      </c>
      <c r="AA11" t="str">
        <f t="shared" si="7"/>
        <v>No</v>
      </c>
      <c r="AG11" s="11" t="s">
        <v>275</v>
      </c>
      <c r="AH11">
        <f>CORREL(J2:J101,I2:I101)</f>
        <v>0.75392663187645392</v>
      </c>
    </row>
    <row r="12" spans="1:43" x14ac:dyDescent="0.25">
      <c r="A12" t="s">
        <v>54</v>
      </c>
      <c r="B12" s="7">
        <v>45368</v>
      </c>
      <c r="C12" t="s">
        <v>22</v>
      </c>
      <c r="D12" t="s">
        <v>33</v>
      </c>
      <c r="E12" t="s">
        <v>45</v>
      </c>
      <c r="F12" t="s">
        <v>46</v>
      </c>
      <c r="G12" t="s">
        <v>53</v>
      </c>
      <c r="H12" s="3">
        <v>1141</v>
      </c>
      <c r="I12" s="3">
        <v>3</v>
      </c>
      <c r="J12">
        <v>3423</v>
      </c>
      <c r="K12">
        <v>839.84</v>
      </c>
      <c r="L12">
        <v>903.48</v>
      </c>
      <c r="M12" s="3">
        <v>3.2</v>
      </c>
      <c r="N12" s="3">
        <v>5</v>
      </c>
      <c r="O12">
        <v>0</v>
      </c>
      <c r="P12" t="s">
        <v>35</v>
      </c>
      <c r="Q12" s="5">
        <f t="shared" si="0"/>
        <v>0.26394390885188429</v>
      </c>
      <c r="R12" t="str">
        <f t="shared" si="1"/>
        <v>Riesgo</v>
      </c>
      <c r="S12" s="3" t="str">
        <f t="shared" si="2"/>
        <v>Q1</v>
      </c>
      <c r="T12" s="3">
        <f t="shared" si="3"/>
        <v>1</v>
      </c>
      <c r="U12" t="str">
        <f t="shared" si="4"/>
        <v>Mejorable</v>
      </c>
      <c r="V12">
        <f>VLOOKUP(G12,Datos_Empleados!B:E,4,FALSE)</f>
        <v>12</v>
      </c>
      <c r="W12">
        <f>VLOOKUP(G12,Datos_Empleados!B:I,8,FALSE)</f>
        <v>4.3</v>
      </c>
      <c r="X12">
        <f>INDEX(Datos_Productos!G:G,MATCH(F12,Datos_Productos!B:B,0))</f>
        <v>37</v>
      </c>
      <c r="Y12">
        <f t="shared" si="5"/>
        <v>0.61423072841430348</v>
      </c>
      <c r="Z12" t="str">
        <f t="shared" si="6"/>
        <v>No</v>
      </c>
      <c r="AA12" t="str">
        <f t="shared" si="7"/>
        <v>No</v>
      </c>
      <c r="AG12" s="11" t="s">
        <v>276</v>
      </c>
      <c r="AH12" cm="1">
        <f t="array" ref="AH12">CORREL(IF(AA2:AA101="No",J2:J101),IF(AA2:AA101="No",I2:I101))</f>
        <v>0.75022031551491963</v>
      </c>
    </row>
    <row r="13" spans="1:43" x14ac:dyDescent="0.25">
      <c r="A13" t="s">
        <v>55</v>
      </c>
      <c r="B13" s="7">
        <v>45374</v>
      </c>
      <c r="C13" t="s">
        <v>41</v>
      </c>
      <c r="D13" t="s">
        <v>23</v>
      </c>
      <c r="E13" t="s">
        <v>45</v>
      </c>
      <c r="F13" t="s">
        <v>56</v>
      </c>
      <c r="G13" t="s">
        <v>49</v>
      </c>
      <c r="H13" s="3">
        <v>1064</v>
      </c>
      <c r="I13" s="3">
        <v>1</v>
      </c>
      <c r="J13">
        <v>957.6</v>
      </c>
      <c r="K13">
        <v>845.22</v>
      </c>
      <c r="L13">
        <v>196.9</v>
      </c>
      <c r="M13" s="3">
        <v>4.5</v>
      </c>
      <c r="N13" s="3">
        <v>5</v>
      </c>
      <c r="O13">
        <v>0.1</v>
      </c>
      <c r="P13" t="s">
        <v>39</v>
      </c>
      <c r="Q13" s="5">
        <f t="shared" si="0"/>
        <v>0.20561821219715956</v>
      </c>
      <c r="R13" t="str">
        <f t="shared" si="1"/>
        <v>Estandar</v>
      </c>
      <c r="S13" s="3" t="str">
        <f t="shared" si="2"/>
        <v>Q1</v>
      </c>
      <c r="T13" s="3">
        <f t="shared" si="3"/>
        <v>7</v>
      </c>
      <c r="U13" t="str">
        <f t="shared" si="4"/>
        <v>Mejorable</v>
      </c>
      <c r="V13">
        <f>VLOOKUP(G13,Datos_Empleados!B:E,4,FALSE)</f>
        <v>30</v>
      </c>
      <c r="W13">
        <f>VLOOKUP(G13,Datos_Empleados!B:I,8,FALSE)</f>
        <v>4.2</v>
      </c>
      <c r="X13">
        <f>INDEX(Datos_Productos!G:G,MATCH(F13,Datos_Productos!B:B,0))</f>
        <v>35</v>
      </c>
      <c r="Y13">
        <f t="shared" si="5"/>
        <v>-1.1309798307662269</v>
      </c>
      <c r="Z13" t="str">
        <f t="shared" si="6"/>
        <v>No</v>
      </c>
      <c r="AA13" t="str">
        <f t="shared" si="7"/>
        <v>No</v>
      </c>
      <c r="AG13" t="s">
        <v>280</v>
      </c>
    </row>
    <row r="14" spans="1:43" x14ac:dyDescent="0.25">
      <c r="A14" t="s">
        <v>57</v>
      </c>
      <c r="B14" s="7">
        <v>45372</v>
      </c>
      <c r="C14" t="s">
        <v>41</v>
      </c>
      <c r="D14" t="s">
        <v>42</v>
      </c>
      <c r="E14" t="s">
        <v>24</v>
      </c>
      <c r="F14" t="s">
        <v>58</v>
      </c>
      <c r="G14" t="s">
        <v>26</v>
      </c>
      <c r="H14" s="3">
        <v>456</v>
      </c>
      <c r="I14" s="3">
        <v>3</v>
      </c>
      <c r="J14">
        <v>1299.5999999999999</v>
      </c>
      <c r="K14">
        <v>322.79000000000002</v>
      </c>
      <c r="L14">
        <v>379.64</v>
      </c>
      <c r="M14" s="3">
        <v>4.5999999999999996</v>
      </c>
      <c r="N14" s="3">
        <v>5</v>
      </c>
      <c r="O14">
        <v>0.05</v>
      </c>
      <c r="P14" t="s">
        <v>39</v>
      </c>
      <c r="Q14" s="5">
        <f t="shared" si="0"/>
        <v>0.29212065250846414</v>
      </c>
      <c r="R14" t="str">
        <f t="shared" si="1"/>
        <v>Premium</v>
      </c>
      <c r="S14" s="3" t="str">
        <f t="shared" si="2"/>
        <v>Q1</v>
      </c>
      <c r="T14" s="3">
        <f t="shared" si="3"/>
        <v>5</v>
      </c>
      <c r="U14" t="str">
        <f t="shared" si="4"/>
        <v>Mejorable</v>
      </c>
      <c r="V14">
        <f>VLOOKUP(G14,Datos_Empleados!B:E,4,FALSE)</f>
        <v>12</v>
      </c>
      <c r="W14">
        <f>VLOOKUP(G14,Datos_Empleados!B:I,8,FALSE)</f>
        <v>4.5</v>
      </c>
      <c r="X14">
        <f>INDEX(Datos_Productos!G:G,MATCH(F14,Datos_Productos!B:B,0))</f>
        <v>37</v>
      </c>
      <c r="Y14">
        <f t="shared" si="5"/>
        <v>-0.8888844258665185</v>
      </c>
      <c r="Z14" t="str">
        <f t="shared" si="6"/>
        <v>No</v>
      </c>
      <c r="AA14" t="str">
        <f t="shared" si="7"/>
        <v>No</v>
      </c>
    </row>
    <row r="15" spans="1:43" x14ac:dyDescent="0.25">
      <c r="A15" t="s">
        <v>59</v>
      </c>
      <c r="B15" s="7">
        <v>45368</v>
      </c>
      <c r="C15" t="s">
        <v>41</v>
      </c>
      <c r="D15" t="s">
        <v>33</v>
      </c>
      <c r="E15" t="s">
        <v>29</v>
      </c>
      <c r="F15" t="s">
        <v>30</v>
      </c>
      <c r="G15" t="s">
        <v>38</v>
      </c>
      <c r="H15" s="3">
        <v>1114</v>
      </c>
      <c r="I15" s="3">
        <v>2</v>
      </c>
      <c r="J15">
        <v>2228</v>
      </c>
      <c r="K15">
        <v>722.07</v>
      </c>
      <c r="L15">
        <v>783.87</v>
      </c>
      <c r="M15" s="3">
        <v>4.0999999999999996</v>
      </c>
      <c r="N15" s="3">
        <v>1</v>
      </c>
      <c r="O15">
        <v>0</v>
      </c>
      <c r="P15" t="s">
        <v>39</v>
      </c>
      <c r="Q15" s="5">
        <f t="shared" si="0"/>
        <v>0.35182675044883305</v>
      </c>
      <c r="R15" t="str">
        <f t="shared" si="1"/>
        <v>Estandar</v>
      </c>
      <c r="S15" s="3" t="str">
        <f t="shared" si="2"/>
        <v>Q1</v>
      </c>
      <c r="T15" s="3">
        <f t="shared" si="3"/>
        <v>1</v>
      </c>
      <c r="U15" t="str">
        <f t="shared" si="4"/>
        <v>Excelente</v>
      </c>
      <c r="V15">
        <f>VLOOKUP(G15,Datos_Empleados!B:E,4,FALSE)</f>
        <v>32</v>
      </c>
      <c r="W15">
        <f>VLOOKUP(G15,Datos_Empleados!B:I,8,FALSE)</f>
        <v>4</v>
      </c>
      <c r="X15">
        <f>INDEX(Datos_Productos!G:G,MATCH(F15,Datos_Productos!B:B,0))</f>
        <v>41</v>
      </c>
      <c r="Y15">
        <f t="shared" si="5"/>
        <v>-0.2316874261329237</v>
      </c>
      <c r="Z15" t="str">
        <f t="shared" si="6"/>
        <v>No</v>
      </c>
      <c r="AA15" t="str">
        <f t="shared" si="7"/>
        <v>No</v>
      </c>
      <c r="AG15" s="11" t="s">
        <v>319</v>
      </c>
      <c r="AH15" t="s">
        <v>321</v>
      </c>
    </row>
    <row r="16" spans="1:43" x14ac:dyDescent="0.25">
      <c r="A16" t="s">
        <v>60</v>
      </c>
      <c r="B16" s="7">
        <v>45354</v>
      </c>
      <c r="C16" t="s">
        <v>22</v>
      </c>
      <c r="D16" t="s">
        <v>42</v>
      </c>
      <c r="E16" t="s">
        <v>29</v>
      </c>
      <c r="F16" t="s">
        <v>30</v>
      </c>
      <c r="G16" t="s">
        <v>53</v>
      </c>
      <c r="H16" s="3">
        <v>1362</v>
      </c>
      <c r="I16" s="3">
        <v>2</v>
      </c>
      <c r="J16">
        <v>2451.6</v>
      </c>
      <c r="K16">
        <v>960.94</v>
      </c>
      <c r="L16">
        <v>721.91</v>
      </c>
      <c r="M16" s="3">
        <v>4.2</v>
      </c>
      <c r="N16" s="3">
        <v>2</v>
      </c>
      <c r="O16">
        <v>0.1</v>
      </c>
      <c r="P16" t="s">
        <v>27</v>
      </c>
      <c r="Q16" s="5">
        <f t="shared" si="0"/>
        <v>0.29446483928862782</v>
      </c>
      <c r="R16" t="str">
        <f t="shared" si="1"/>
        <v>Estandar</v>
      </c>
      <c r="S16" s="3" t="str">
        <f t="shared" si="2"/>
        <v>Q1</v>
      </c>
      <c r="T16" s="3">
        <f t="shared" si="3"/>
        <v>1</v>
      </c>
      <c r="U16" t="str">
        <f t="shared" si="4"/>
        <v>Excelente</v>
      </c>
      <c r="V16">
        <f>VLOOKUP(G16,Datos_Empleados!B:E,4,FALSE)</f>
        <v>12</v>
      </c>
      <c r="W16">
        <f>VLOOKUP(G16,Datos_Empleados!B:I,8,FALSE)</f>
        <v>4.3</v>
      </c>
      <c r="X16">
        <f>INDEX(Datos_Productos!G:G,MATCH(F16,Datos_Productos!B:B,0))</f>
        <v>41</v>
      </c>
      <c r="Y16">
        <f t="shared" si="5"/>
        <v>-7.3405167256973977E-2</v>
      </c>
      <c r="Z16" t="str">
        <f t="shared" si="6"/>
        <v>No</v>
      </c>
      <c r="AA16" t="str">
        <f t="shared" si="7"/>
        <v>No</v>
      </c>
      <c r="AG16" s="11" t="s">
        <v>8</v>
      </c>
      <c r="AH16" t="s">
        <v>322</v>
      </c>
    </row>
    <row r="17" spans="1:34" x14ac:dyDescent="0.25">
      <c r="A17" t="s">
        <v>61</v>
      </c>
      <c r="B17" s="7">
        <v>45380</v>
      </c>
      <c r="C17" t="s">
        <v>32</v>
      </c>
      <c r="D17" t="s">
        <v>42</v>
      </c>
      <c r="E17" t="s">
        <v>45</v>
      </c>
      <c r="F17" t="s">
        <v>56</v>
      </c>
      <c r="G17" t="s">
        <v>38</v>
      </c>
      <c r="H17" s="3">
        <v>1048</v>
      </c>
      <c r="I17" s="3">
        <v>5</v>
      </c>
      <c r="J17">
        <v>4454</v>
      </c>
      <c r="K17">
        <v>654.16</v>
      </c>
      <c r="L17">
        <v>1673.81</v>
      </c>
      <c r="M17" s="3">
        <v>3.4</v>
      </c>
      <c r="N17" s="3">
        <v>3</v>
      </c>
      <c r="O17">
        <v>0.15</v>
      </c>
      <c r="P17" t="s">
        <v>39</v>
      </c>
      <c r="Q17" s="5">
        <f t="shared" si="0"/>
        <v>0.37579928154467895</v>
      </c>
      <c r="R17" t="str">
        <f t="shared" si="1"/>
        <v>Riesgo</v>
      </c>
      <c r="S17" s="3" t="str">
        <f t="shared" si="2"/>
        <v>Q1</v>
      </c>
      <c r="T17" s="3">
        <f t="shared" si="3"/>
        <v>6</v>
      </c>
      <c r="U17" t="str">
        <f t="shared" si="4"/>
        <v>Buena</v>
      </c>
      <c r="V17">
        <f>VLOOKUP(G17,Datos_Empleados!B:E,4,FALSE)</f>
        <v>32</v>
      </c>
      <c r="W17">
        <f>VLOOKUP(G17,Datos_Empleados!B:I,8,FALSE)</f>
        <v>4</v>
      </c>
      <c r="X17">
        <f>INDEX(Datos_Productos!G:G,MATCH(F17,Datos_Productos!B:B,0))</f>
        <v>35</v>
      </c>
      <c r="Y17">
        <f t="shared" si="5"/>
        <v>1.3440563496178106</v>
      </c>
      <c r="Z17" t="str">
        <f t="shared" si="6"/>
        <v>No</v>
      </c>
      <c r="AA17" t="str">
        <f t="shared" si="7"/>
        <v>No</v>
      </c>
      <c r="AG17" s="11" t="s">
        <v>320</v>
      </c>
      <c r="AH17">
        <f>H2*Satisfaccion_Cliente</f>
        <v>1056</v>
      </c>
    </row>
    <row r="18" spans="1:34" x14ac:dyDescent="0.25">
      <c r="A18" t="s">
        <v>62</v>
      </c>
      <c r="B18" s="7">
        <v>45367</v>
      </c>
      <c r="C18" t="s">
        <v>32</v>
      </c>
      <c r="D18" t="s">
        <v>42</v>
      </c>
      <c r="E18" t="s">
        <v>29</v>
      </c>
      <c r="F18" t="s">
        <v>30</v>
      </c>
      <c r="G18" t="s">
        <v>63</v>
      </c>
      <c r="H18" s="3">
        <v>860</v>
      </c>
      <c r="I18" s="3">
        <v>2</v>
      </c>
      <c r="J18">
        <v>1720</v>
      </c>
      <c r="K18">
        <v>671.73</v>
      </c>
      <c r="L18">
        <v>376.54</v>
      </c>
      <c r="M18" s="3">
        <v>4.7</v>
      </c>
      <c r="N18" s="3">
        <v>1</v>
      </c>
      <c r="O18">
        <v>0</v>
      </c>
      <c r="P18" t="s">
        <v>27</v>
      </c>
      <c r="Q18" s="5">
        <f t="shared" si="0"/>
        <v>0.21891860465116281</v>
      </c>
      <c r="R18" t="str">
        <f t="shared" si="1"/>
        <v>Premium</v>
      </c>
      <c r="S18" s="3" t="str">
        <f t="shared" si="2"/>
        <v>Q1</v>
      </c>
      <c r="T18" s="3">
        <f t="shared" si="3"/>
        <v>7</v>
      </c>
      <c r="U18" t="str">
        <f t="shared" si="4"/>
        <v>Excelente</v>
      </c>
      <c r="V18">
        <f>VLOOKUP(G18,Datos_Empleados!B:E,4,FALSE)</f>
        <v>10</v>
      </c>
      <c r="W18">
        <f>VLOOKUP(G18,Datos_Empleados!B:I,8,FALSE)</f>
        <v>4.4000000000000004</v>
      </c>
      <c r="X18">
        <f>INDEX(Datos_Productos!G:G,MATCH(F18,Datos_Productos!B:B,0))</f>
        <v>41</v>
      </c>
      <c r="Y18">
        <f t="shared" si="5"/>
        <v>-0.59129112697810482</v>
      </c>
      <c r="Z18" t="str">
        <f t="shared" si="6"/>
        <v>No</v>
      </c>
      <c r="AA18" t="str">
        <f t="shared" si="7"/>
        <v>No</v>
      </c>
    </row>
    <row r="19" spans="1:34" x14ac:dyDescent="0.25">
      <c r="A19" t="s">
        <v>64</v>
      </c>
      <c r="B19" s="7">
        <v>45322</v>
      </c>
      <c r="C19" t="s">
        <v>41</v>
      </c>
      <c r="D19" t="s">
        <v>42</v>
      </c>
      <c r="E19" t="s">
        <v>45</v>
      </c>
      <c r="F19" t="s">
        <v>65</v>
      </c>
      <c r="G19" t="s">
        <v>49</v>
      </c>
      <c r="H19" s="3">
        <v>1184</v>
      </c>
      <c r="I19" s="3">
        <v>5</v>
      </c>
      <c r="J19">
        <v>5032</v>
      </c>
      <c r="K19">
        <v>767.94</v>
      </c>
      <c r="L19">
        <v>1768.25</v>
      </c>
      <c r="M19" s="3">
        <v>3.9</v>
      </c>
      <c r="N19" s="3">
        <v>4</v>
      </c>
      <c r="O19">
        <v>0.15</v>
      </c>
      <c r="P19" t="s">
        <v>39</v>
      </c>
      <c r="Q19" s="5">
        <f t="shared" si="0"/>
        <v>0.3514010333863275</v>
      </c>
      <c r="R19" t="str">
        <f t="shared" si="1"/>
        <v>Riesgo</v>
      </c>
      <c r="S19" s="3" t="str">
        <f t="shared" si="2"/>
        <v>Q1</v>
      </c>
      <c r="T19" s="3">
        <f t="shared" si="3"/>
        <v>4</v>
      </c>
      <c r="U19" t="str">
        <f t="shared" si="4"/>
        <v>Buena</v>
      </c>
      <c r="V19">
        <f>VLOOKUP(G19,Datos_Empleados!B:E,4,FALSE)</f>
        <v>30</v>
      </c>
      <c r="W19">
        <f>VLOOKUP(G19,Datos_Empleados!B:I,8,FALSE)</f>
        <v>4.2</v>
      </c>
      <c r="X19">
        <f>INDEX(Datos_Productos!G:G,MATCH(F19,Datos_Productos!B:B,0))</f>
        <v>38</v>
      </c>
      <c r="Y19">
        <f t="shared" si="5"/>
        <v>1.7532117415243356</v>
      </c>
      <c r="Z19" t="str">
        <f t="shared" si="6"/>
        <v>No</v>
      </c>
      <c r="AA19" t="str">
        <f t="shared" si="7"/>
        <v>No</v>
      </c>
    </row>
    <row r="20" spans="1:34" x14ac:dyDescent="0.25">
      <c r="A20" t="s">
        <v>66</v>
      </c>
      <c r="B20" s="7">
        <v>45304</v>
      </c>
      <c r="C20" t="s">
        <v>22</v>
      </c>
      <c r="D20" t="s">
        <v>42</v>
      </c>
      <c r="E20" t="s">
        <v>45</v>
      </c>
      <c r="F20" t="s">
        <v>56</v>
      </c>
      <c r="G20" t="s">
        <v>67</v>
      </c>
      <c r="H20" s="3">
        <v>1020</v>
      </c>
      <c r="I20" s="3">
        <v>4</v>
      </c>
      <c r="J20">
        <v>4080</v>
      </c>
      <c r="K20">
        <v>749.37</v>
      </c>
      <c r="L20">
        <v>1082.53</v>
      </c>
      <c r="M20" s="3">
        <v>5</v>
      </c>
      <c r="N20" s="3">
        <v>1</v>
      </c>
      <c r="O20">
        <v>0</v>
      </c>
      <c r="P20" t="s">
        <v>39</v>
      </c>
      <c r="Q20" s="5">
        <f t="shared" si="0"/>
        <v>0.26532598039215688</v>
      </c>
      <c r="R20" t="str">
        <f t="shared" si="1"/>
        <v>Premium</v>
      </c>
      <c r="S20" s="3" t="str">
        <f t="shared" si="2"/>
        <v>Q1</v>
      </c>
      <c r="T20" s="3">
        <f t="shared" si="3"/>
        <v>7</v>
      </c>
      <c r="U20" t="str">
        <f t="shared" si="4"/>
        <v>Excelente</v>
      </c>
      <c r="V20">
        <f>VLOOKUP(G20,Datos_Empleados!B:E,4,FALSE)</f>
        <v>15</v>
      </c>
      <c r="W20">
        <f>VLOOKUP(G20,Datos_Empleados!B:I,8,FALSE)</f>
        <v>4.7</v>
      </c>
      <c r="X20">
        <f>INDEX(Datos_Productos!G:G,MATCH(F20,Datos_Productos!B:B,0))</f>
        <v>35</v>
      </c>
      <c r="Y20">
        <f t="shared" si="5"/>
        <v>1.0793087430900592</v>
      </c>
      <c r="Z20" t="str">
        <f t="shared" si="6"/>
        <v>No</v>
      </c>
      <c r="AA20" t="str">
        <f t="shared" si="7"/>
        <v>No</v>
      </c>
    </row>
    <row r="21" spans="1:34" x14ac:dyDescent="0.25">
      <c r="A21" t="s">
        <v>68</v>
      </c>
      <c r="B21" s="7">
        <v>45343</v>
      </c>
      <c r="C21" t="s">
        <v>41</v>
      </c>
      <c r="D21" t="s">
        <v>23</v>
      </c>
      <c r="E21" t="s">
        <v>29</v>
      </c>
      <c r="F21" t="s">
        <v>30</v>
      </c>
      <c r="G21" t="s">
        <v>26</v>
      </c>
      <c r="H21" s="3">
        <v>1349</v>
      </c>
      <c r="I21" s="3">
        <v>4</v>
      </c>
      <c r="J21">
        <v>5126.2</v>
      </c>
      <c r="K21">
        <v>923.22</v>
      </c>
      <c r="L21">
        <v>1617.95</v>
      </c>
      <c r="M21" s="3">
        <v>3.6</v>
      </c>
      <c r="N21" s="3">
        <v>2</v>
      </c>
      <c r="O21">
        <v>0.05</v>
      </c>
      <c r="P21" t="s">
        <v>39</v>
      </c>
      <c r="Q21" s="5">
        <f t="shared" si="0"/>
        <v>0.31562365885061061</v>
      </c>
      <c r="R21" t="str">
        <f t="shared" si="1"/>
        <v>Riesgo</v>
      </c>
      <c r="S21" s="3" t="str">
        <f t="shared" si="2"/>
        <v>Q1</v>
      </c>
      <c r="T21" s="3">
        <f t="shared" si="3"/>
        <v>4</v>
      </c>
      <c r="U21" t="str">
        <f t="shared" si="4"/>
        <v>Excelente</v>
      </c>
      <c r="V21">
        <f>VLOOKUP(G21,Datos_Empleados!B:E,4,FALSE)</f>
        <v>12</v>
      </c>
      <c r="W21">
        <f>VLOOKUP(G21,Datos_Empleados!B:I,8,FALSE)</f>
        <v>4.5</v>
      </c>
      <c r="X21">
        <f>INDEX(Datos_Productos!G:G,MATCH(F21,Datos_Productos!B:B,0))</f>
        <v>41</v>
      </c>
      <c r="Y21">
        <f t="shared" si="5"/>
        <v>1.8198941600668868</v>
      </c>
      <c r="Z21" t="str">
        <f t="shared" si="6"/>
        <v>No</v>
      </c>
      <c r="AA21" t="str">
        <f t="shared" si="7"/>
        <v>No</v>
      </c>
    </row>
    <row r="22" spans="1:34" x14ac:dyDescent="0.25">
      <c r="A22" t="s">
        <v>69</v>
      </c>
      <c r="B22" s="7">
        <v>45348</v>
      </c>
      <c r="C22" t="s">
        <v>22</v>
      </c>
      <c r="D22" t="s">
        <v>23</v>
      </c>
      <c r="E22" t="s">
        <v>24</v>
      </c>
      <c r="F22" t="s">
        <v>58</v>
      </c>
      <c r="G22" t="s">
        <v>34</v>
      </c>
      <c r="H22" s="3">
        <v>395</v>
      </c>
      <c r="I22" s="3">
        <v>2</v>
      </c>
      <c r="J22">
        <v>750.5</v>
      </c>
      <c r="K22">
        <v>269.11</v>
      </c>
      <c r="L22">
        <v>239.2</v>
      </c>
      <c r="M22" s="3">
        <v>4</v>
      </c>
      <c r="N22" s="3">
        <v>7</v>
      </c>
      <c r="O22">
        <v>0.05</v>
      </c>
      <c r="P22" t="s">
        <v>35</v>
      </c>
      <c r="Q22" s="5">
        <f t="shared" si="0"/>
        <v>0.31872085276482343</v>
      </c>
      <c r="R22" t="str">
        <f t="shared" si="1"/>
        <v>Riesgo</v>
      </c>
      <c r="S22" s="3" t="str">
        <f t="shared" si="2"/>
        <v>Q1</v>
      </c>
      <c r="T22" s="3">
        <f t="shared" si="3"/>
        <v>2</v>
      </c>
      <c r="U22" t="str">
        <f t="shared" si="4"/>
        <v>Mejorable</v>
      </c>
      <c r="V22">
        <f>VLOOKUP(G22,Datos_Empleados!B:E,4,FALSE)</f>
        <v>37</v>
      </c>
      <c r="W22">
        <f>VLOOKUP(G22,Datos_Empleados!B:I,8,FALSE)</f>
        <v>3.6</v>
      </c>
      <c r="X22">
        <f>INDEX(Datos_Productos!G:G,MATCH(F22,Datos_Productos!B:B,0))</f>
        <v>37</v>
      </c>
      <c r="Y22">
        <f t="shared" si="5"/>
        <v>-1.2775820481777171</v>
      </c>
      <c r="Z22" t="str">
        <f t="shared" si="6"/>
        <v>No</v>
      </c>
      <c r="AA22" t="str">
        <f t="shared" si="7"/>
        <v>No</v>
      </c>
    </row>
    <row r="23" spans="1:34" x14ac:dyDescent="0.25">
      <c r="A23" t="s">
        <v>70</v>
      </c>
      <c r="B23" s="7">
        <v>45299</v>
      </c>
      <c r="C23" t="s">
        <v>32</v>
      </c>
      <c r="D23" t="s">
        <v>33</v>
      </c>
      <c r="E23" t="s">
        <v>29</v>
      </c>
      <c r="F23" t="s">
        <v>37</v>
      </c>
      <c r="G23" t="s">
        <v>71</v>
      </c>
      <c r="H23" s="3">
        <v>1265</v>
      </c>
      <c r="I23" s="3">
        <v>3</v>
      </c>
      <c r="J23">
        <v>3225.75</v>
      </c>
      <c r="K23">
        <v>935.24</v>
      </c>
      <c r="L23">
        <v>840.89</v>
      </c>
      <c r="M23" s="3">
        <v>4.5</v>
      </c>
      <c r="N23" s="3">
        <v>7</v>
      </c>
      <c r="O23">
        <v>0.15</v>
      </c>
      <c r="P23" t="s">
        <v>27</v>
      </c>
      <c r="Q23" s="5">
        <f t="shared" si="0"/>
        <v>0.26068046190808336</v>
      </c>
      <c r="R23" t="str">
        <f t="shared" si="1"/>
        <v>Estandar</v>
      </c>
      <c r="S23" s="3" t="str">
        <f t="shared" si="2"/>
        <v>Q1</v>
      </c>
      <c r="T23" s="3">
        <f t="shared" si="3"/>
        <v>2</v>
      </c>
      <c r="U23" t="str">
        <f t="shared" si="4"/>
        <v>Mejorable</v>
      </c>
      <c r="V23">
        <f>VLOOKUP(G23,Datos_Empleados!B:E,4,FALSE)</f>
        <v>33</v>
      </c>
      <c r="W23">
        <f>VLOOKUP(G23,Datos_Empleados!B:I,8,FALSE)</f>
        <v>4.0999999999999996</v>
      </c>
      <c r="X23">
        <f>INDEX(Datos_Productos!G:G,MATCH(F23,Datos_Productos!B:B,0))</f>
        <v>41</v>
      </c>
      <c r="Y23">
        <f t="shared" si="5"/>
        <v>0.47460114181644525</v>
      </c>
      <c r="Z23" t="str">
        <f t="shared" si="6"/>
        <v>No</v>
      </c>
      <c r="AA23" t="str">
        <f t="shared" si="7"/>
        <v>No</v>
      </c>
    </row>
    <row r="24" spans="1:34" x14ac:dyDescent="0.25">
      <c r="A24" t="s">
        <v>72</v>
      </c>
      <c r="B24" s="7">
        <v>45376</v>
      </c>
      <c r="C24" t="s">
        <v>44</v>
      </c>
      <c r="D24" t="s">
        <v>23</v>
      </c>
      <c r="E24" t="s">
        <v>29</v>
      </c>
      <c r="F24" t="s">
        <v>37</v>
      </c>
      <c r="G24" t="s">
        <v>26</v>
      </c>
      <c r="H24" s="3">
        <v>859</v>
      </c>
      <c r="I24" s="3">
        <v>5</v>
      </c>
      <c r="J24">
        <v>4295</v>
      </c>
      <c r="K24">
        <v>643.9</v>
      </c>
      <c r="L24">
        <v>1075.49</v>
      </c>
      <c r="M24" s="3">
        <v>3.1</v>
      </c>
      <c r="N24" s="3">
        <v>5</v>
      </c>
      <c r="O24">
        <v>0</v>
      </c>
      <c r="P24" t="s">
        <v>35</v>
      </c>
      <c r="Q24" s="5">
        <f t="shared" si="0"/>
        <v>0.25040512223515715</v>
      </c>
      <c r="R24" t="str">
        <f t="shared" si="1"/>
        <v>Riesgo</v>
      </c>
      <c r="S24" s="3" t="str">
        <f t="shared" si="2"/>
        <v>Q1</v>
      </c>
      <c r="T24" s="3">
        <f t="shared" si="3"/>
        <v>2</v>
      </c>
      <c r="U24" t="str">
        <f t="shared" si="4"/>
        <v>Mejorable</v>
      </c>
      <c r="V24">
        <f>VLOOKUP(G24,Datos_Empleados!B:E,4,FALSE)</f>
        <v>12</v>
      </c>
      <c r="W24">
        <f>VLOOKUP(G24,Datos_Empleados!B:I,8,FALSE)</f>
        <v>4.5</v>
      </c>
      <c r="X24">
        <f>INDEX(Datos_Productos!G:G,MATCH(F24,Datos_Productos!B:B,0))</f>
        <v>41</v>
      </c>
      <c r="Y24">
        <f t="shared" si="5"/>
        <v>1.2315032227784726</v>
      </c>
      <c r="Z24" t="str">
        <f t="shared" si="6"/>
        <v>No</v>
      </c>
      <c r="AA24" t="str">
        <f t="shared" si="7"/>
        <v>No</v>
      </c>
    </row>
    <row r="25" spans="1:34" x14ac:dyDescent="0.25">
      <c r="A25" t="s">
        <v>73</v>
      </c>
      <c r="B25" s="7">
        <v>45356</v>
      </c>
      <c r="C25" t="s">
        <v>32</v>
      </c>
      <c r="D25" t="s">
        <v>23</v>
      </c>
      <c r="E25" t="s">
        <v>24</v>
      </c>
      <c r="F25" t="s">
        <v>48</v>
      </c>
      <c r="G25" t="s">
        <v>49</v>
      </c>
      <c r="H25" s="3">
        <v>370</v>
      </c>
      <c r="I25" s="3">
        <v>5</v>
      </c>
      <c r="J25">
        <v>1850</v>
      </c>
      <c r="K25">
        <v>271.97000000000003</v>
      </c>
      <c r="L25">
        <v>490.17</v>
      </c>
      <c r="M25" s="3">
        <v>3.5</v>
      </c>
      <c r="N25" s="3">
        <v>1</v>
      </c>
      <c r="O25">
        <v>0</v>
      </c>
      <c r="P25" t="s">
        <v>27</v>
      </c>
      <c r="Q25" s="5">
        <f t="shared" si="0"/>
        <v>0.26495675675675678</v>
      </c>
      <c r="R25" t="str">
        <f t="shared" si="1"/>
        <v>Riesgo</v>
      </c>
      <c r="S25" s="3" t="str">
        <f t="shared" si="2"/>
        <v>Q1</v>
      </c>
      <c r="T25" s="3">
        <f t="shared" si="3"/>
        <v>3</v>
      </c>
      <c r="U25" t="str">
        <f t="shared" si="4"/>
        <v>Excelente</v>
      </c>
      <c r="V25">
        <f>VLOOKUP(G25,Datos_Empleados!B:E,4,FALSE)</f>
        <v>30</v>
      </c>
      <c r="W25">
        <f>VLOOKUP(G25,Datos_Empleados!B:I,8,FALSE)</f>
        <v>4.2</v>
      </c>
      <c r="X25">
        <f>INDEX(Datos_Productos!G:G,MATCH(F25,Datos_Productos!B:B,0))</f>
        <v>38</v>
      </c>
      <c r="Y25">
        <f t="shared" si="5"/>
        <v>-0.4992665578641805</v>
      </c>
      <c r="Z25" t="str">
        <f t="shared" si="6"/>
        <v>No</v>
      </c>
      <c r="AA25" t="str">
        <f t="shared" si="7"/>
        <v>No</v>
      </c>
    </row>
    <row r="26" spans="1:34" x14ac:dyDescent="0.25">
      <c r="A26" t="s">
        <v>74</v>
      </c>
      <c r="B26" s="7">
        <v>45323</v>
      </c>
      <c r="C26" t="s">
        <v>22</v>
      </c>
      <c r="D26" t="s">
        <v>42</v>
      </c>
      <c r="E26" t="s">
        <v>29</v>
      </c>
      <c r="F26" t="s">
        <v>37</v>
      </c>
      <c r="G26" t="s">
        <v>38</v>
      </c>
      <c r="H26" s="3">
        <v>1067</v>
      </c>
      <c r="I26" s="3">
        <v>2</v>
      </c>
      <c r="J26">
        <v>1920.6</v>
      </c>
      <c r="K26">
        <v>691.14</v>
      </c>
      <c r="L26">
        <v>676.56</v>
      </c>
      <c r="M26" s="3">
        <v>3.8</v>
      </c>
      <c r="N26" s="3">
        <v>6</v>
      </c>
      <c r="O26">
        <v>0.1</v>
      </c>
      <c r="P26" t="s">
        <v>27</v>
      </c>
      <c r="Q26" s="5">
        <f t="shared" si="0"/>
        <v>0.35226491721337083</v>
      </c>
      <c r="R26" t="str">
        <f t="shared" si="1"/>
        <v>Riesgo</v>
      </c>
      <c r="S26" s="3" t="str">
        <f t="shared" si="2"/>
        <v>Q1</v>
      </c>
      <c r="T26" s="3">
        <f t="shared" si="3"/>
        <v>5</v>
      </c>
      <c r="U26" t="str">
        <f t="shared" si="4"/>
        <v>Mejorable</v>
      </c>
      <c r="V26">
        <f>VLOOKUP(G26,Datos_Empleados!B:E,4,FALSE)</f>
        <v>32</v>
      </c>
      <c r="W26">
        <f>VLOOKUP(G26,Datos_Empleados!B:I,8,FALSE)</f>
        <v>4</v>
      </c>
      <c r="X26">
        <f>INDEX(Datos_Productos!G:G,MATCH(F26,Datos_Productos!B:B,0))</f>
        <v>41</v>
      </c>
      <c r="Y26">
        <f t="shared" si="5"/>
        <v>-0.44929013802231088</v>
      </c>
      <c r="Z26" t="str">
        <f t="shared" si="6"/>
        <v>No</v>
      </c>
      <c r="AA26" t="str">
        <f t="shared" si="7"/>
        <v>No</v>
      </c>
    </row>
    <row r="27" spans="1:34" x14ac:dyDescent="0.25">
      <c r="A27" t="s">
        <v>75</v>
      </c>
      <c r="B27" s="7">
        <v>45330</v>
      </c>
      <c r="C27" t="s">
        <v>44</v>
      </c>
      <c r="D27" t="s">
        <v>33</v>
      </c>
      <c r="E27" t="s">
        <v>29</v>
      </c>
      <c r="F27" t="s">
        <v>30</v>
      </c>
      <c r="G27" t="s">
        <v>53</v>
      </c>
      <c r="H27" s="3">
        <v>1376</v>
      </c>
      <c r="I27" s="3">
        <v>1</v>
      </c>
      <c r="J27">
        <v>1376</v>
      </c>
      <c r="K27">
        <v>973.56</v>
      </c>
      <c r="L27">
        <v>402.44</v>
      </c>
      <c r="M27" s="3">
        <v>4</v>
      </c>
      <c r="N27" s="3">
        <v>2</v>
      </c>
      <c r="O27">
        <v>0</v>
      </c>
      <c r="P27" t="s">
        <v>35</v>
      </c>
      <c r="Q27" s="5">
        <f t="shared" si="0"/>
        <v>0.29247093023255816</v>
      </c>
      <c r="R27" t="str">
        <f t="shared" si="1"/>
        <v>Riesgo</v>
      </c>
      <c r="S27" s="3" t="str">
        <f t="shared" si="2"/>
        <v>Q1</v>
      </c>
      <c r="T27" s="3">
        <f t="shared" si="3"/>
        <v>5</v>
      </c>
      <c r="U27" t="str">
        <f t="shared" si="4"/>
        <v>Excelente</v>
      </c>
      <c r="V27">
        <f>VLOOKUP(G27,Datos_Empleados!B:E,4,FALSE)</f>
        <v>12</v>
      </c>
      <c r="W27">
        <f>VLOOKUP(G27,Datos_Empleados!B:I,8,FALSE)</f>
        <v>4.3</v>
      </c>
      <c r="X27">
        <f>INDEX(Datos_Productos!G:G,MATCH(F27,Datos_Productos!B:B,0))</f>
        <v>41</v>
      </c>
      <c r="Y27">
        <f t="shared" si="5"/>
        <v>-0.834802294479566</v>
      </c>
      <c r="Z27" t="str">
        <f t="shared" si="6"/>
        <v>No</v>
      </c>
      <c r="AA27" t="str">
        <f t="shared" si="7"/>
        <v>No</v>
      </c>
    </row>
    <row r="28" spans="1:34" x14ac:dyDescent="0.25">
      <c r="A28" t="s">
        <v>76</v>
      </c>
      <c r="B28" s="7">
        <v>45300</v>
      </c>
      <c r="C28" t="s">
        <v>32</v>
      </c>
      <c r="D28" t="s">
        <v>33</v>
      </c>
      <c r="E28" t="s">
        <v>45</v>
      </c>
      <c r="F28" t="s">
        <v>65</v>
      </c>
      <c r="G28" t="s">
        <v>53</v>
      </c>
      <c r="H28" s="3">
        <v>1156</v>
      </c>
      <c r="I28" s="3">
        <v>3</v>
      </c>
      <c r="J28">
        <v>3468</v>
      </c>
      <c r="K28">
        <v>848.01</v>
      </c>
      <c r="L28">
        <v>923.97</v>
      </c>
      <c r="M28" s="3">
        <v>4.0999999999999996</v>
      </c>
      <c r="N28" s="3">
        <v>6</v>
      </c>
      <c r="O28">
        <v>0</v>
      </c>
      <c r="P28" t="s">
        <v>39</v>
      </c>
      <c r="Q28" s="5">
        <f t="shared" si="0"/>
        <v>0.26642733564013843</v>
      </c>
      <c r="R28" t="str">
        <f t="shared" si="1"/>
        <v>Estandar</v>
      </c>
      <c r="S28" s="3" t="str">
        <f t="shared" si="2"/>
        <v>Q1</v>
      </c>
      <c r="T28" s="3">
        <f t="shared" si="3"/>
        <v>3</v>
      </c>
      <c r="U28" t="str">
        <f t="shared" si="4"/>
        <v>Mejorable</v>
      </c>
      <c r="V28">
        <f>VLOOKUP(G28,Datos_Empleados!B:E,4,FALSE)</f>
        <v>12</v>
      </c>
      <c r="W28">
        <f>VLOOKUP(G28,Datos_Empleados!B:I,8,FALSE)</f>
        <v>4.3</v>
      </c>
      <c r="X28">
        <f>INDEX(Datos_Productos!G:G,MATCH(F28,Datos_Productos!B:B,0))</f>
        <v>38</v>
      </c>
      <c r="Y28">
        <f t="shared" si="5"/>
        <v>0.64608538695373874</v>
      </c>
      <c r="Z28" t="str">
        <f t="shared" si="6"/>
        <v>No</v>
      </c>
      <c r="AA28" t="str">
        <f t="shared" si="7"/>
        <v>No</v>
      </c>
    </row>
    <row r="29" spans="1:34" x14ac:dyDescent="0.25">
      <c r="A29" t="s">
        <v>77</v>
      </c>
      <c r="B29" s="7">
        <v>45309</v>
      </c>
      <c r="C29" t="s">
        <v>41</v>
      </c>
      <c r="D29" t="s">
        <v>23</v>
      </c>
      <c r="E29" t="s">
        <v>29</v>
      </c>
      <c r="F29" t="s">
        <v>78</v>
      </c>
      <c r="G29" t="s">
        <v>49</v>
      </c>
      <c r="H29" s="3">
        <v>1078</v>
      </c>
      <c r="I29" s="3">
        <v>3</v>
      </c>
      <c r="J29">
        <v>3072.3</v>
      </c>
      <c r="K29">
        <v>801.52</v>
      </c>
      <c r="L29">
        <v>787.98</v>
      </c>
      <c r="M29" s="3">
        <v>3.4</v>
      </c>
      <c r="N29" s="3">
        <v>6</v>
      </c>
      <c r="O29">
        <v>0.05</v>
      </c>
      <c r="P29" t="s">
        <v>35</v>
      </c>
      <c r="Q29" s="5">
        <f t="shared" si="0"/>
        <v>0.25647885948637827</v>
      </c>
      <c r="R29" t="str">
        <f t="shared" si="1"/>
        <v>Riesgo</v>
      </c>
      <c r="S29" s="3" t="str">
        <f t="shared" si="2"/>
        <v>Q1</v>
      </c>
      <c r="T29" s="3">
        <f t="shared" si="3"/>
        <v>5</v>
      </c>
      <c r="U29" t="str">
        <f t="shared" si="4"/>
        <v>Mejorable</v>
      </c>
      <c r="V29">
        <f>VLOOKUP(G29,Datos_Empleados!B:E,4,FALSE)</f>
        <v>30</v>
      </c>
      <c r="W29">
        <f>VLOOKUP(G29,Datos_Empleados!B:I,8,FALSE)</f>
        <v>4.2</v>
      </c>
      <c r="X29">
        <f>INDEX(Datos_Productos!G:G,MATCH(F29,Datos_Productos!B:B,0))</f>
        <v>29</v>
      </c>
      <c r="Y29">
        <f t="shared" si="5"/>
        <v>0.3659767561969709</v>
      </c>
      <c r="Z29" t="str">
        <f t="shared" si="6"/>
        <v>No</v>
      </c>
      <c r="AA29" t="str">
        <f t="shared" si="7"/>
        <v>No</v>
      </c>
    </row>
    <row r="30" spans="1:34" x14ac:dyDescent="0.25">
      <c r="A30" t="s">
        <v>79</v>
      </c>
      <c r="B30" s="7">
        <v>45356</v>
      </c>
      <c r="C30" t="s">
        <v>44</v>
      </c>
      <c r="D30" t="s">
        <v>33</v>
      </c>
      <c r="E30" t="s">
        <v>29</v>
      </c>
      <c r="F30" t="s">
        <v>30</v>
      </c>
      <c r="G30" t="s">
        <v>67</v>
      </c>
      <c r="H30" s="3">
        <v>1083</v>
      </c>
      <c r="I30" s="3">
        <v>1</v>
      </c>
      <c r="J30">
        <v>1083</v>
      </c>
      <c r="K30">
        <v>722.05</v>
      </c>
      <c r="L30">
        <v>360.95</v>
      </c>
      <c r="M30" s="3">
        <v>3.3</v>
      </c>
      <c r="N30" s="3">
        <v>3</v>
      </c>
      <c r="O30">
        <v>0</v>
      </c>
      <c r="P30" t="s">
        <v>39</v>
      </c>
      <c r="Q30" s="5">
        <f t="shared" si="0"/>
        <v>0.33328716528162511</v>
      </c>
      <c r="R30" t="str">
        <f t="shared" si="1"/>
        <v>Riesgo</v>
      </c>
      <c r="S30" s="3" t="str">
        <f t="shared" si="2"/>
        <v>Q1</v>
      </c>
      <c r="T30" s="3">
        <f t="shared" si="3"/>
        <v>3</v>
      </c>
      <c r="U30" t="str">
        <f t="shared" si="4"/>
        <v>Buena</v>
      </c>
      <c r="V30">
        <f>VLOOKUP(G30,Datos_Empleados!B:E,4,FALSE)</f>
        <v>15</v>
      </c>
      <c r="W30">
        <f>VLOOKUP(G30,Datos_Empleados!B:I,8,FALSE)</f>
        <v>4.7</v>
      </c>
      <c r="X30">
        <f>INDEX(Datos_Productos!G:G,MATCH(F30,Datos_Productos!B:B,0))</f>
        <v>41</v>
      </c>
      <c r="Y30">
        <f t="shared" si="5"/>
        <v>-1.0422115156363339</v>
      </c>
      <c r="Z30" t="str">
        <f t="shared" si="6"/>
        <v>No</v>
      </c>
      <c r="AA30" t="str">
        <f t="shared" si="7"/>
        <v>No</v>
      </c>
    </row>
    <row r="31" spans="1:34" x14ac:dyDescent="0.25">
      <c r="A31" t="s">
        <v>80</v>
      </c>
      <c r="B31" s="7">
        <v>45348</v>
      </c>
      <c r="C31" t="s">
        <v>44</v>
      </c>
      <c r="D31" t="s">
        <v>42</v>
      </c>
      <c r="E31" t="s">
        <v>29</v>
      </c>
      <c r="F31" t="s">
        <v>30</v>
      </c>
      <c r="G31" t="s">
        <v>63</v>
      </c>
      <c r="H31" s="3">
        <v>952</v>
      </c>
      <c r="I31" s="3">
        <v>5</v>
      </c>
      <c r="J31">
        <v>4760</v>
      </c>
      <c r="K31">
        <v>730.11</v>
      </c>
      <c r="L31">
        <v>1109.47</v>
      </c>
      <c r="M31" s="3">
        <v>4.2</v>
      </c>
      <c r="N31" s="3">
        <v>2</v>
      </c>
      <c r="O31">
        <v>0</v>
      </c>
      <c r="P31" t="s">
        <v>35</v>
      </c>
      <c r="Q31" s="5">
        <f t="shared" si="0"/>
        <v>0.23308193277310926</v>
      </c>
      <c r="R31" t="str">
        <f t="shared" si="1"/>
        <v>Estandar</v>
      </c>
      <c r="S31" s="3" t="str">
        <f t="shared" si="2"/>
        <v>Q1</v>
      </c>
      <c r="T31" s="3">
        <f t="shared" si="3"/>
        <v>2</v>
      </c>
      <c r="U31" t="str">
        <f t="shared" si="4"/>
        <v>Excelente</v>
      </c>
      <c r="V31">
        <f>VLOOKUP(G31,Datos_Empleados!B:E,4,FALSE)</f>
        <v>10</v>
      </c>
      <c r="W31">
        <f>VLOOKUP(G31,Datos_Empleados!B:I,8,FALSE)</f>
        <v>4.4000000000000004</v>
      </c>
      <c r="X31">
        <f>INDEX(Datos_Productos!G:G,MATCH(F31,Datos_Productos!B:B,0))</f>
        <v>41</v>
      </c>
      <c r="Y31">
        <f t="shared" si="5"/>
        <v>1.560668027685971</v>
      </c>
      <c r="Z31" t="str">
        <f t="shared" si="6"/>
        <v>No</v>
      </c>
      <c r="AA31" t="str">
        <f t="shared" si="7"/>
        <v>No</v>
      </c>
    </row>
    <row r="32" spans="1:34" x14ac:dyDescent="0.25">
      <c r="A32" t="s">
        <v>81</v>
      </c>
      <c r="B32" s="7">
        <v>45308</v>
      </c>
      <c r="C32" t="s">
        <v>22</v>
      </c>
      <c r="D32" t="s">
        <v>33</v>
      </c>
      <c r="E32" t="s">
        <v>45</v>
      </c>
      <c r="F32" t="s">
        <v>65</v>
      </c>
      <c r="G32" t="s">
        <v>38</v>
      </c>
      <c r="H32" s="3">
        <v>815</v>
      </c>
      <c r="I32" s="3">
        <v>2</v>
      </c>
      <c r="J32">
        <v>1630</v>
      </c>
      <c r="K32">
        <v>546.65</v>
      </c>
      <c r="L32">
        <v>536.70000000000005</v>
      </c>
      <c r="M32" s="3">
        <v>4.0999999999999996</v>
      </c>
      <c r="N32" s="3">
        <v>7</v>
      </c>
      <c r="O32">
        <v>0</v>
      </c>
      <c r="P32" t="s">
        <v>35</v>
      </c>
      <c r="Q32" s="5">
        <f t="shared" si="0"/>
        <v>0.32926380368098163</v>
      </c>
      <c r="R32" t="str">
        <f t="shared" si="1"/>
        <v>Estandar</v>
      </c>
      <c r="S32" s="3" t="str">
        <f t="shared" si="2"/>
        <v>Q1</v>
      </c>
      <c r="T32" s="3">
        <f t="shared" si="3"/>
        <v>4</v>
      </c>
      <c r="U32" t="str">
        <f t="shared" si="4"/>
        <v>Mejorable</v>
      </c>
      <c r="V32">
        <f>VLOOKUP(G32,Datos_Empleados!B:E,4,FALSE)</f>
        <v>32</v>
      </c>
      <c r="W32">
        <f>VLOOKUP(G32,Datos_Empleados!B:I,8,FALSE)</f>
        <v>4</v>
      </c>
      <c r="X32">
        <f>INDEX(Datos_Productos!G:G,MATCH(F32,Datos_Productos!B:B,0))</f>
        <v>38</v>
      </c>
      <c r="Y32">
        <f t="shared" si="5"/>
        <v>-0.65500044405697544</v>
      </c>
      <c r="Z32" t="str">
        <f t="shared" si="6"/>
        <v>No</v>
      </c>
      <c r="AA32" t="str">
        <f t="shared" si="7"/>
        <v>No</v>
      </c>
    </row>
    <row r="33" spans="1:27" x14ac:dyDescent="0.25">
      <c r="A33" t="s">
        <v>82</v>
      </c>
      <c r="B33" s="7">
        <v>45371</v>
      </c>
      <c r="C33" t="s">
        <v>32</v>
      </c>
      <c r="D33" t="s">
        <v>23</v>
      </c>
      <c r="E33" t="s">
        <v>29</v>
      </c>
      <c r="F33" t="s">
        <v>30</v>
      </c>
      <c r="G33" t="s">
        <v>67</v>
      </c>
      <c r="H33" s="3">
        <v>825</v>
      </c>
      <c r="I33" s="3">
        <v>2</v>
      </c>
      <c r="J33">
        <v>1485</v>
      </c>
      <c r="K33">
        <v>624.09</v>
      </c>
      <c r="L33">
        <v>361.63</v>
      </c>
      <c r="M33" s="3">
        <v>3.8</v>
      </c>
      <c r="N33" s="3">
        <v>6</v>
      </c>
      <c r="O33">
        <v>0.1</v>
      </c>
      <c r="P33" t="s">
        <v>27</v>
      </c>
      <c r="Q33" s="5">
        <f t="shared" si="0"/>
        <v>0.24352188552188553</v>
      </c>
      <c r="R33" t="str">
        <f t="shared" si="1"/>
        <v>Riesgo</v>
      </c>
      <c r="S33" s="3" t="str">
        <f t="shared" si="2"/>
        <v>Q1</v>
      </c>
      <c r="T33" s="3">
        <f t="shared" si="3"/>
        <v>4</v>
      </c>
      <c r="U33" t="str">
        <f t="shared" si="4"/>
        <v>Mejorable</v>
      </c>
      <c r="V33">
        <f>VLOOKUP(G33,Datos_Empleados!B:E,4,FALSE)</f>
        <v>15</v>
      </c>
      <c r="W33">
        <f>VLOOKUP(G33,Datos_Empleados!B:I,8,FALSE)</f>
        <v>4.7</v>
      </c>
      <c r="X33">
        <f>INDEX(Datos_Productos!G:G,MATCH(F33,Datos_Productos!B:B,0))</f>
        <v>41</v>
      </c>
      <c r="Y33">
        <f t="shared" si="5"/>
        <v>-0.75764323268404488</v>
      </c>
      <c r="Z33" t="str">
        <f t="shared" si="6"/>
        <v>No</v>
      </c>
      <c r="AA33" t="str">
        <f t="shared" si="7"/>
        <v>No</v>
      </c>
    </row>
    <row r="34" spans="1:27" x14ac:dyDescent="0.25">
      <c r="A34" t="s">
        <v>83</v>
      </c>
      <c r="B34" s="7">
        <v>45323</v>
      </c>
      <c r="C34" t="s">
        <v>41</v>
      </c>
      <c r="D34" t="s">
        <v>23</v>
      </c>
      <c r="E34" t="s">
        <v>24</v>
      </c>
      <c r="F34" t="s">
        <v>48</v>
      </c>
      <c r="G34" t="s">
        <v>67</v>
      </c>
      <c r="H34" s="3">
        <v>339</v>
      </c>
      <c r="I34" s="3">
        <v>4</v>
      </c>
      <c r="J34">
        <v>1288.2</v>
      </c>
      <c r="K34">
        <v>216.93</v>
      </c>
      <c r="L34">
        <v>463.86</v>
      </c>
      <c r="M34" s="3">
        <v>4.8</v>
      </c>
      <c r="N34" s="3">
        <v>3</v>
      </c>
      <c r="O34">
        <v>0.05</v>
      </c>
      <c r="P34" t="s">
        <v>35</v>
      </c>
      <c r="Q34" s="5">
        <f t="shared" si="0"/>
        <v>0.36008383791336751</v>
      </c>
      <c r="R34" t="str">
        <f t="shared" si="1"/>
        <v>Premium</v>
      </c>
      <c r="S34" s="3" t="str">
        <f t="shared" si="2"/>
        <v>Q1</v>
      </c>
      <c r="T34" s="3">
        <f t="shared" si="3"/>
        <v>5</v>
      </c>
      <c r="U34" t="str">
        <f t="shared" si="4"/>
        <v>Buena</v>
      </c>
      <c r="V34">
        <f>VLOOKUP(G34,Datos_Empleados!B:E,4,FALSE)</f>
        <v>15</v>
      </c>
      <c r="W34">
        <f>VLOOKUP(G34,Datos_Empleados!B:I,8,FALSE)</f>
        <v>4.7</v>
      </c>
      <c r="X34">
        <f>INDEX(Datos_Productos!G:G,MATCH(F34,Datos_Productos!B:B,0))</f>
        <v>38</v>
      </c>
      <c r="Y34">
        <f t="shared" si="5"/>
        <v>-0.89695427269650863</v>
      </c>
      <c r="Z34" t="str">
        <f t="shared" si="6"/>
        <v>No</v>
      </c>
      <c r="AA34" t="str">
        <f t="shared" si="7"/>
        <v>No</v>
      </c>
    </row>
    <row r="35" spans="1:27" x14ac:dyDescent="0.25">
      <c r="A35" t="s">
        <v>84</v>
      </c>
      <c r="B35" s="7">
        <v>45321</v>
      </c>
      <c r="C35" t="s">
        <v>32</v>
      </c>
      <c r="D35" t="s">
        <v>23</v>
      </c>
      <c r="E35" t="s">
        <v>24</v>
      </c>
      <c r="F35" t="s">
        <v>48</v>
      </c>
      <c r="G35" t="s">
        <v>67</v>
      </c>
      <c r="H35" s="3">
        <v>636</v>
      </c>
      <c r="I35" s="3">
        <v>3</v>
      </c>
      <c r="J35">
        <v>1908</v>
      </c>
      <c r="K35">
        <v>504.59</v>
      </c>
      <c r="L35">
        <v>394.24</v>
      </c>
      <c r="M35" s="3">
        <v>3.6</v>
      </c>
      <c r="N35" s="3">
        <v>6</v>
      </c>
      <c r="O35">
        <v>0</v>
      </c>
      <c r="P35" t="s">
        <v>27</v>
      </c>
      <c r="Q35" s="5">
        <f t="shared" si="0"/>
        <v>0.20662473794549266</v>
      </c>
      <c r="R35" t="str">
        <f t="shared" si="1"/>
        <v>Riesgo</v>
      </c>
      <c r="S35" s="3" t="str">
        <f t="shared" si="2"/>
        <v>Q1</v>
      </c>
      <c r="T35" s="3">
        <f t="shared" si="3"/>
        <v>3</v>
      </c>
      <c r="U35" t="str">
        <f t="shared" si="4"/>
        <v>Mejorable</v>
      </c>
      <c r="V35">
        <f>VLOOKUP(G35,Datos_Empleados!B:E,4,FALSE)</f>
        <v>15</v>
      </c>
      <c r="W35">
        <f>VLOOKUP(G35,Datos_Empleados!B:I,8,FALSE)</f>
        <v>4.7</v>
      </c>
      <c r="X35">
        <f>INDEX(Datos_Productos!G:G,MATCH(F35,Datos_Productos!B:B,0))</f>
        <v>38</v>
      </c>
      <c r="Y35">
        <f t="shared" si="5"/>
        <v>-0.45820944241335271</v>
      </c>
      <c r="Z35" t="str">
        <f t="shared" si="6"/>
        <v>No</v>
      </c>
      <c r="AA35" t="str">
        <f t="shared" si="7"/>
        <v>No</v>
      </c>
    </row>
    <row r="36" spans="1:27" x14ac:dyDescent="0.25">
      <c r="A36" t="s">
        <v>85</v>
      </c>
      <c r="B36" s="7">
        <v>45343</v>
      </c>
      <c r="C36" t="s">
        <v>41</v>
      </c>
      <c r="D36" t="s">
        <v>23</v>
      </c>
      <c r="E36" t="s">
        <v>29</v>
      </c>
      <c r="F36" t="s">
        <v>37</v>
      </c>
      <c r="G36" t="s">
        <v>49</v>
      </c>
      <c r="H36" s="3">
        <v>1394</v>
      </c>
      <c r="I36" s="3">
        <v>3</v>
      </c>
      <c r="J36">
        <v>4182</v>
      </c>
      <c r="K36">
        <v>866.62</v>
      </c>
      <c r="L36">
        <v>1582.13</v>
      </c>
      <c r="M36" s="3">
        <v>3.9</v>
      </c>
      <c r="N36" s="3">
        <v>6</v>
      </c>
      <c r="O36">
        <v>0</v>
      </c>
      <c r="P36" t="s">
        <v>35</v>
      </c>
      <c r="Q36" s="5">
        <f t="shared" si="0"/>
        <v>0.37831898613103782</v>
      </c>
      <c r="R36" t="str">
        <f t="shared" si="1"/>
        <v>Riesgo</v>
      </c>
      <c r="S36" s="3" t="str">
        <f t="shared" si="2"/>
        <v>Q1</v>
      </c>
      <c r="T36" s="3">
        <f t="shared" si="3"/>
        <v>4</v>
      </c>
      <c r="U36" t="str">
        <f t="shared" si="4"/>
        <v>Mejorable</v>
      </c>
      <c r="V36">
        <f>VLOOKUP(G36,Datos_Empleados!B:E,4,FALSE)</f>
        <v>30</v>
      </c>
      <c r="W36">
        <f>VLOOKUP(G36,Datos_Empleados!B:I,8,FALSE)</f>
        <v>4.2</v>
      </c>
      <c r="X36">
        <f>INDEX(Datos_Productos!G:G,MATCH(F36,Datos_Productos!B:B,0))</f>
        <v>41</v>
      </c>
      <c r="Y36">
        <f t="shared" si="5"/>
        <v>1.1515126357794461</v>
      </c>
      <c r="Z36" t="str">
        <f t="shared" si="6"/>
        <v>No</v>
      </c>
      <c r="AA36" t="str">
        <f t="shared" si="7"/>
        <v>No</v>
      </c>
    </row>
    <row r="37" spans="1:27" x14ac:dyDescent="0.25">
      <c r="A37" t="s">
        <v>86</v>
      </c>
      <c r="B37" s="7">
        <v>45347</v>
      </c>
      <c r="C37" t="s">
        <v>22</v>
      </c>
      <c r="D37" t="s">
        <v>33</v>
      </c>
      <c r="E37" t="s">
        <v>24</v>
      </c>
      <c r="F37" t="s">
        <v>48</v>
      </c>
      <c r="G37" t="s">
        <v>71</v>
      </c>
      <c r="H37" s="3">
        <v>345</v>
      </c>
      <c r="I37" s="3">
        <v>4</v>
      </c>
      <c r="J37">
        <v>1380</v>
      </c>
      <c r="K37">
        <v>242.87</v>
      </c>
      <c r="L37">
        <v>408.5</v>
      </c>
      <c r="M37" s="3">
        <v>4.5999999999999996</v>
      </c>
      <c r="N37" s="3">
        <v>6</v>
      </c>
      <c r="O37">
        <v>0</v>
      </c>
      <c r="P37" t="s">
        <v>27</v>
      </c>
      <c r="Q37" s="5">
        <f t="shared" si="0"/>
        <v>0.29601449275362318</v>
      </c>
      <c r="R37" t="str">
        <f t="shared" si="1"/>
        <v>Premium</v>
      </c>
      <c r="S37" s="3" t="str">
        <f t="shared" si="2"/>
        <v>Q1</v>
      </c>
      <c r="T37" s="3">
        <f t="shared" si="3"/>
        <v>1</v>
      </c>
      <c r="U37" t="str">
        <f t="shared" si="4"/>
        <v>Mejorable</v>
      </c>
      <c r="V37">
        <f>VLOOKUP(G37,Datos_Empleados!B:E,4,FALSE)</f>
        <v>33</v>
      </c>
      <c r="W37">
        <f>VLOOKUP(G37,Datos_Empleados!B:I,8,FALSE)</f>
        <v>4.0999999999999996</v>
      </c>
      <c r="X37">
        <f>INDEX(Datos_Productos!G:G,MATCH(F37,Datos_Productos!B:B,0))</f>
        <v>38</v>
      </c>
      <c r="Y37">
        <f t="shared" si="5"/>
        <v>-0.83197076927606062</v>
      </c>
      <c r="Z37" t="str">
        <f t="shared" si="6"/>
        <v>No</v>
      </c>
      <c r="AA37" t="str">
        <f t="shared" si="7"/>
        <v>No</v>
      </c>
    </row>
    <row r="38" spans="1:27" x14ac:dyDescent="0.25">
      <c r="A38" t="s">
        <v>87</v>
      </c>
      <c r="B38" s="7">
        <v>45377</v>
      </c>
      <c r="C38" t="s">
        <v>32</v>
      </c>
      <c r="D38" t="s">
        <v>33</v>
      </c>
      <c r="E38" t="s">
        <v>45</v>
      </c>
      <c r="F38" t="s">
        <v>65</v>
      </c>
      <c r="G38" t="s">
        <v>38</v>
      </c>
      <c r="H38" s="3">
        <v>921</v>
      </c>
      <c r="I38" s="3">
        <v>1</v>
      </c>
      <c r="J38">
        <v>828.9</v>
      </c>
      <c r="K38">
        <v>646.01</v>
      </c>
      <c r="L38">
        <v>247.49</v>
      </c>
      <c r="M38" s="3">
        <v>4.3</v>
      </c>
      <c r="N38" s="3">
        <v>3</v>
      </c>
      <c r="O38">
        <v>0.1</v>
      </c>
      <c r="P38" t="s">
        <v>35</v>
      </c>
      <c r="Q38" s="5">
        <f t="shared" si="0"/>
        <v>0.29857642658945593</v>
      </c>
      <c r="R38" t="str">
        <f t="shared" si="1"/>
        <v>Estandar</v>
      </c>
      <c r="S38" s="3" t="str">
        <f t="shared" si="2"/>
        <v>Q1</v>
      </c>
      <c r="T38" s="3">
        <f t="shared" si="3"/>
        <v>3</v>
      </c>
      <c r="U38" t="str">
        <f t="shared" si="4"/>
        <v>Buena</v>
      </c>
      <c r="V38">
        <f>VLOOKUP(G38,Datos_Empleados!B:E,4,FALSE)</f>
        <v>32</v>
      </c>
      <c r="W38">
        <f>VLOOKUP(G38,Datos_Empleados!B:I,8,FALSE)</f>
        <v>4</v>
      </c>
      <c r="X38">
        <f>INDEX(Datos_Productos!G:G,MATCH(F38,Datos_Productos!B:B,0))</f>
        <v>38</v>
      </c>
      <c r="Y38">
        <f t="shared" si="5"/>
        <v>-1.222084154189012</v>
      </c>
      <c r="Z38" t="str">
        <f t="shared" si="6"/>
        <v>No</v>
      </c>
      <c r="AA38" t="str">
        <f t="shared" si="7"/>
        <v>No</v>
      </c>
    </row>
    <row r="39" spans="1:27" x14ac:dyDescent="0.25">
      <c r="A39" t="s">
        <v>88</v>
      </c>
      <c r="B39" s="7">
        <v>45381</v>
      </c>
      <c r="C39" t="s">
        <v>41</v>
      </c>
      <c r="D39" t="s">
        <v>42</v>
      </c>
      <c r="E39" t="s">
        <v>29</v>
      </c>
      <c r="F39" t="s">
        <v>30</v>
      </c>
      <c r="G39" t="s">
        <v>67</v>
      </c>
      <c r="H39" s="3">
        <v>1188</v>
      </c>
      <c r="I39" s="3">
        <v>2</v>
      </c>
      <c r="J39">
        <v>2138.4</v>
      </c>
      <c r="K39">
        <v>809.28</v>
      </c>
      <c r="L39">
        <v>681.69</v>
      </c>
      <c r="M39" s="3">
        <v>4.7</v>
      </c>
      <c r="N39" s="3">
        <v>3</v>
      </c>
      <c r="O39">
        <v>0.1</v>
      </c>
      <c r="P39" t="s">
        <v>35</v>
      </c>
      <c r="Q39" s="5">
        <f t="shared" si="0"/>
        <v>0.31878507295173963</v>
      </c>
      <c r="R39" t="str">
        <f t="shared" si="1"/>
        <v>Premium</v>
      </c>
      <c r="S39" s="3" t="str">
        <f t="shared" si="2"/>
        <v>Q1</v>
      </c>
      <c r="T39" s="3">
        <f t="shared" si="3"/>
        <v>7</v>
      </c>
      <c r="U39" t="str">
        <f t="shared" si="4"/>
        <v>Buena</v>
      </c>
      <c r="V39">
        <f>VLOOKUP(G39,Datos_Empleados!B:E,4,FALSE)</f>
        <v>15</v>
      </c>
      <c r="W39">
        <f>VLOOKUP(G39,Datos_Empleados!B:I,8,FALSE)</f>
        <v>4.7</v>
      </c>
      <c r="X39">
        <f>INDEX(Datos_Productos!G:G,MATCH(F39,Datos_Productos!B:B,0))</f>
        <v>41</v>
      </c>
      <c r="Y39">
        <f t="shared" si="5"/>
        <v>-0.29511359069144377</v>
      </c>
      <c r="Z39" t="str">
        <f t="shared" si="6"/>
        <v>No</v>
      </c>
      <c r="AA39" t="str">
        <f t="shared" si="7"/>
        <v>No</v>
      </c>
    </row>
    <row r="40" spans="1:27" x14ac:dyDescent="0.25">
      <c r="A40" t="s">
        <v>89</v>
      </c>
      <c r="B40" s="7">
        <v>45318</v>
      </c>
      <c r="C40" t="s">
        <v>44</v>
      </c>
      <c r="D40" t="s">
        <v>42</v>
      </c>
      <c r="E40" t="s">
        <v>24</v>
      </c>
      <c r="F40" t="s">
        <v>58</v>
      </c>
      <c r="G40" t="s">
        <v>38</v>
      </c>
      <c r="H40" s="3">
        <v>776</v>
      </c>
      <c r="I40" s="3">
        <v>4</v>
      </c>
      <c r="J40">
        <v>2638.4</v>
      </c>
      <c r="K40">
        <v>570.46</v>
      </c>
      <c r="L40">
        <v>698.85</v>
      </c>
      <c r="M40" s="3">
        <v>4</v>
      </c>
      <c r="N40" s="3">
        <v>7</v>
      </c>
      <c r="O40">
        <v>0.15</v>
      </c>
      <c r="P40" t="s">
        <v>27</v>
      </c>
      <c r="Q40" s="5">
        <f t="shared" si="0"/>
        <v>0.26487644026682838</v>
      </c>
      <c r="R40" t="str">
        <f t="shared" si="1"/>
        <v>Riesgo</v>
      </c>
      <c r="S40" s="3" t="str">
        <f t="shared" si="2"/>
        <v>Q1</v>
      </c>
      <c r="T40" s="3">
        <f t="shared" si="3"/>
        <v>7</v>
      </c>
      <c r="U40" t="str">
        <f t="shared" si="4"/>
        <v>Mejorable</v>
      </c>
      <c r="V40">
        <f>VLOOKUP(G40,Datos_Empleados!B:E,4,FALSE)</f>
        <v>32</v>
      </c>
      <c r="W40">
        <f>VLOOKUP(G40,Datos_Empleados!B:I,8,FALSE)</f>
        <v>4</v>
      </c>
      <c r="X40">
        <f>INDEX(Datos_Productos!G:G,MATCH(F40,Datos_Productos!B:B,0))</f>
        <v>37</v>
      </c>
      <c r="Y40">
        <f t="shared" si="5"/>
        <v>5.8827059746726584E-2</v>
      </c>
      <c r="Z40" t="str">
        <f t="shared" si="6"/>
        <v>No</v>
      </c>
      <c r="AA40" t="str">
        <f t="shared" si="7"/>
        <v>No</v>
      </c>
    </row>
    <row r="41" spans="1:27" x14ac:dyDescent="0.25">
      <c r="A41" t="s">
        <v>90</v>
      </c>
      <c r="B41" s="7">
        <v>45313</v>
      </c>
      <c r="C41" t="s">
        <v>22</v>
      </c>
      <c r="D41" t="s">
        <v>33</v>
      </c>
      <c r="E41" t="s">
        <v>24</v>
      </c>
      <c r="F41" t="s">
        <v>58</v>
      </c>
      <c r="G41" t="s">
        <v>38</v>
      </c>
      <c r="H41" s="3">
        <v>395</v>
      </c>
      <c r="I41" s="3">
        <v>2</v>
      </c>
      <c r="J41">
        <v>711</v>
      </c>
      <c r="K41">
        <v>254.75</v>
      </c>
      <c r="L41">
        <v>252.46</v>
      </c>
      <c r="M41" s="3">
        <v>3.4</v>
      </c>
      <c r="N41" s="3">
        <v>1</v>
      </c>
      <c r="O41">
        <v>0.1</v>
      </c>
      <c r="P41" t="s">
        <v>39</v>
      </c>
      <c r="Q41" s="5">
        <f t="shared" si="0"/>
        <v>0.35507735583684952</v>
      </c>
      <c r="R41" t="str">
        <f t="shared" si="1"/>
        <v>Riesgo</v>
      </c>
      <c r="S41" s="3" t="str">
        <f t="shared" si="2"/>
        <v>Q1</v>
      </c>
      <c r="T41" s="3">
        <f t="shared" si="3"/>
        <v>2</v>
      </c>
      <c r="U41" t="str">
        <f t="shared" si="4"/>
        <v>Excelente</v>
      </c>
      <c r="V41">
        <f>VLOOKUP(G41,Datos_Empleados!B:E,4,FALSE)</f>
        <v>32</v>
      </c>
      <c r="W41">
        <f>VLOOKUP(G41,Datos_Empleados!B:I,8,FALSE)</f>
        <v>4</v>
      </c>
      <c r="X41">
        <f>INDEX(Datos_Productos!G:G,MATCH(F41,Datos_Productos!B:B,0))</f>
        <v>37</v>
      </c>
      <c r="Y41">
        <f t="shared" si="5"/>
        <v>-1.3055433595623325</v>
      </c>
      <c r="Z41" t="str">
        <f t="shared" si="6"/>
        <v>No</v>
      </c>
      <c r="AA41" t="str">
        <f t="shared" si="7"/>
        <v>No</v>
      </c>
    </row>
    <row r="42" spans="1:27" x14ac:dyDescent="0.25">
      <c r="A42" t="s">
        <v>91</v>
      </c>
      <c r="B42" s="7">
        <v>45323</v>
      </c>
      <c r="C42" t="s">
        <v>44</v>
      </c>
      <c r="D42" t="s">
        <v>42</v>
      </c>
      <c r="E42" t="s">
        <v>29</v>
      </c>
      <c r="F42" t="s">
        <v>37</v>
      </c>
      <c r="G42" t="s">
        <v>67</v>
      </c>
      <c r="H42" s="3">
        <v>1389</v>
      </c>
      <c r="I42" s="3">
        <v>2</v>
      </c>
      <c r="J42">
        <v>2361.3000000000002</v>
      </c>
      <c r="K42">
        <v>970.74</v>
      </c>
      <c r="L42">
        <v>711.05</v>
      </c>
      <c r="M42" s="3">
        <v>3.5</v>
      </c>
      <c r="N42" s="3">
        <v>6</v>
      </c>
      <c r="O42">
        <v>0.15</v>
      </c>
      <c r="P42" t="s">
        <v>27</v>
      </c>
      <c r="Q42" s="5">
        <f t="shared" si="0"/>
        <v>0.30112649811544484</v>
      </c>
      <c r="R42" t="str">
        <f t="shared" si="1"/>
        <v>Riesgo</v>
      </c>
      <c r="S42" s="3" t="str">
        <f t="shared" si="2"/>
        <v>Q1</v>
      </c>
      <c r="T42" s="3">
        <f t="shared" si="3"/>
        <v>5</v>
      </c>
      <c r="U42" t="str">
        <f t="shared" si="4"/>
        <v>Mejorable</v>
      </c>
      <c r="V42">
        <f>VLOOKUP(G42,Datos_Empleados!B:E,4,FALSE)</f>
        <v>15</v>
      </c>
      <c r="W42">
        <f>VLOOKUP(G42,Datos_Empleados!B:I,8,FALSE)</f>
        <v>4.7</v>
      </c>
      <c r="X42">
        <f>INDEX(Datos_Productos!G:G,MATCH(F42,Datos_Productos!B:B,0))</f>
        <v>41</v>
      </c>
      <c r="Y42">
        <f t="shared" si="5"/>
        <v>-0.13732684872610734</v>
      </c>
      <c r="Z42" t="str">
        <f t="shared" si="6"/>
        <v>No</v>
      </c>
      <c r="AA42" t="str">
        <f t="shared" si="7"/>
        <v>No</v>
      </c>
    </row>
    <row r="43" spans="1:27" x14ac:dyDescent="0.25">
      <c r="A43" t="s">
        <v>92</v>
      </c>
      <c r="B43" s="7">
        <v>45292</v>
      </c>
      <c r="C43" t="s">
        <v>22</v>
      </c>
      <c r="D43" t="s">
        <v>33</v>
      </c>
      <c r="E43" t="s">
        <v>29</v>
      </c>
      <c r="F43" t="s">
        <v>30</v>
      </c>
      <c r="G43" t="s">
        <v>53</v>
      </c>
      <c r="H43" s="3">
        <v>851</v>
      </c>
      <c r="I43" s="3">
        <v>5</v>
      </c>
      <c r="J43">
        <v>4042.25</v>
      </c>
      <c r="K43">
        <v>666.75</v>
      </c>
      <c r="L43">
        <v>875.17</v>
      </c>
      <c r="M43" s="3">
        <v>3.2</v>
      </c>
      <c r="N43" s="3">
        <v>2</v>
      </c>
      <c r="O43">
        <v>0.05</v>
      </c>
      <c r="P43" t="s">
        <v>35</v>
      </c>
      <c r="Q43" s="5">
        <f t="shared" si="0"/>
        <v>0.21650565897705484</v>
      </c>
      <c r="R43" t="str">
        <f t="shared" si="1"/>
        <v>Riesgo</v>
      </c>
      <c r="S43" s="3" t="str">
        <f t="shared" si="2"/>
        <v>Q1</v>
      </c>
      <c r="T43" s="3">
        <f t="shared" si="3"/>
        <v>2</v>
      </c>
      <c r="U43" t="str">
        <f t="shared" si="4"/>
        <v>Excelente</v>
      </c>
      <c r="V43">
        <f>VLOOKUP(G43,Datos_Empleados!B:E,4,FALSE)</f>
        <v>12</v>
      </c>
      <c r="W43">
        <f>VLOOKUP(G43,Datos_Empleados!B:I,8,FALSE)</f>
        <v>4.3</v>
      </c>
      <c r="X43">
        <f>INDEX(Datos_Productos!G:G,MATCH(F43,Datos_Productos!B:B,0))</f>
        <v>41</v>
      </c>
      <c r="Y43">
        <f t="shared" si="5"/>
        <v>1.0525862239819774</v>
      </c>
      <c r="Z43" t="str">
        <f t="shared" si="6"/>
        <v>No</v>
      </c>
      <c r="AA43" t="str">
        <f t="shared" si="7"/>
        <v>No</v>
      </c>
    </row>
    <row r="44" spans="1:27" x14ac:dyDescent="0.25">
      <c r="A44" t="s">
        <v>93</v>
      </c>
      <c r="B44" s="7">
        <v>45377</v>
      </c>
      <c r="C44" t="s">
        <v>41</v>
      </c>
      <c r="D44" t="s">
        <v>33</v>
      </c>
      <c r="E44" t="s">
        <v>24</v>
      </c>
      <c r="F44" t="s">
        <v>58</v>
      </c>
      <c r="G44" t="s">
        <v>67</v>
      </c>
      <c r="H44" s="3">
        <v>861</v>
      </c>
      <c r="I44" s="3">
        <v>4</v>
      </c>
      <c r="J44">
        <v>3271.8</v>
      </c>
      <c r="K44">
        <v>644.66</v>
      </c>
      <c r="L44">
        <v>822.1</v>
      </c>
      <c r="M44" s="3">
        <v>3.9</v>
      </c>
      <c r="N44" s="3">
        <v>3</v>
      </c>
      <c r="O44">
        <v>0.05</v>
      </c>
      <c r="P44" t="s">
        <v>39</v>
      </c>
      <c r="Q44" s="5">
        <f t="shared" si="0"/>
        <v>0.25126841493978846</v>
      </c>
      <c r="R44" t="str">
        <f t="shared" si="1"/>
        <v>Riesgo</v>
      </c>
      <c r="S44" s="3" t="str">
        <f t="shared" si="2"/>
        <v>Q1</v>
      </c>
      <c r="T44" s="3">
        <f t="shared" si="3"/>
        <v>3</v>
      </c>
      <c r="U44" t="str">
        <f t="shared" si="4"/>
        <v>Buena</v>
      </c>
      <c r="V44">
        <f>VLOOKUP(G44,Datos_Empleados!B:E,4,FALSE)</f>
        <v>15</v>
      </c>
      <c r="W44">
        <f>VLOOKUP(G44,Datos_Empleados!B:I,8,FALSE)</f>
        <v>4.7</v>
      </c>
      <c r="X44">
        <f>INDEX(Datos_Productos!G:G,MATCH(F44,Datos_Productos!B:B,0))</f>
        <v>37</v>
      </c>
      <c r="Y44">
        <f t="shared" si="5"/>
        <v>0.5071990757218009</v>
      </c>
      <c r="Z44" t="str">
        <f t="shared" si="6"/>
        <v>No</v>
      </c>
      <c r="AA44" t="str">
        <f t="shared" si="7"/>
        <v>No</v>
      </c>
    </row>
    <row r="45" spans="1:27" x14ac:dyDescent="0.25">
      <c r="A45" t="s">
        <v>94</v>
      </c>
      <c r="B45" s="7">
        <v>45373</v>
      </c>
      <c r="C45" t="s">
        <v>41</v>
      </c>
      <c r="D45" t="s">
        <v>42</v>
      </c>
      <c r="E45" t="s">
        <v>45</v>
      </c>
      <c r="F45" t="s">
        <v>46</v>
      </c>
      <c r="G45" t="s">
        <v>26</v>
      </c>
      <c r="H45" s="3">
        <v>881</v>
      </c>
      <c r="I45" s="3">
        <v>4</v>
      </c>
      <c r="J45">
        <v>3524</v>
      </c>
      <c r="K45">
        <v>654.33000000000004</v>
      </c>
      <c r="L45">
        <v>906.69</v>
      </c>
      <c r="M45" s="3">
        <v>3.5</v>
      </c>
      <c r="N45" s="3">
        <v>3</v>
      </c>
      <c r="O45">
        <v>0</v>
      </c>
      <c r="P45" t="s">
        <v>35</v>
      </c>
      <c r="Q45" s="5">
        <f t="shared" si="0"/>
        <v>0.25729001135073781</v>
      </c>
      <c r="R45" t="str">
        <f t="shared" si="1"/>
        <v>Riesgo</v>
      </c>
      <c r="S45" s="3" t="str">
        <f t="shared" si="2"/>
        <v>Q1</v>
      </c>
      <c r="T45" s="3">
        <f t="shared" si="3"/>
        <v>6</v>
      </c>
      <c r="U45" t="str">
        <f t="shared" si="4"/>
        <v>Buena</v>
      </c>
      <c r="V45">
        <f>VLOOKUP(G45,Datos_Empleados!B:E,4,FALSE)</f>
        <v>12</v>
      </c>
      <c r="W45">
        <f>VLOOKUP(G45,Datos_Empleados!B:I,8,FALSE)</f>
        <v>4.5</v>
      </c>
      <c r="X45">
        <f>INDEX(Datos_Productos!G:G,MATCH(F45,Datos_Productos!B:B,0))</f>
        <v>37</v>
      </c>
      <c r="Y45">
        <f t="shared" si="5"/>
        <v>0.68572673980281384</v>
      </c>
      <c r="Z45" t="str">
        <f t="shared" si="6"/>
        <v>No</v>
      </c>
      <c r="AA45" t="str">
        <f t="shared" si="7"/>
        <v>No</v>
      </c>
    </row>
    <row r="46" spans="1:27" x14ac:dyDescent="0.25">
      <c r="A46" t="s">
        <v>95</v>
      </c>
      <c r="B46" s="7">
        <v>45361</v>
      </c>
      <c r="C46" t="s">
        <v>22</v>
      </c>
      <c r="D46" t="s">
        <v>23</v>
      </c>
      <c r="E46" t="s">
        <v>29</v>
      </c>
      <c r="F46" t="s">
        <v>30</v>
      </c>
      <c r="G46" t="s">
        <v>67</v>
      </c>
      <c r="H46" s="3">
        <v>956</v>
      </c>
      <c r="I46" s="3">
        <v>2</v>
      </c>
      <c r="J46">
        <v>1912</v>
      </c>
      <c r="K46">
        <v>652.91999999999996</v>
      </c>
      <c r="L46">
        <v>606.15</v>
      </c>
      <c r="M46" s="3">
        <v>3.7</v>
      </c>
      <c r="N46" s="3">
        <v>4</v>
      </c>
      <c r="O46">
        <v>0</v>
      </c>
      <c r="P46" t="s">
        <v>35</v>
      </c>
      <c r="Q46" s="5">
        <f t="shared" si="0"/>
        <v>0.31702405857740584</v>
      </c>
      <c r="R46" t="str">
        <f t="shared" si="1"/>
        <v>Riesgo</v>
      </c>
      <c r="S46" s="3" t="str">
        <f t="shared" si="2"/>
        <v>Q1</v>
      </c>
      <c r="T46" s="3">
        <f t="shared" si="3"/>
        <v>1</v>
      </c>
      <c r="U46" t="str">
        <f t="shared" si="4"/>
        <v>Buena</v>
      </c>
      <c r="V46">
        <f>VLOOKUP(G46,Datos_Empleados!B:E,4,FALSE)</f>
        <v>15</v>
      </c>
      <c r="W46">
        <f>VLOOKUP(G46,Datos_Empleados!B:I,8,FALSE)</f>
        <v>4.7</v>
      </c>
      <c r="X46">
        <f>INDEX(Datos_Productos!G:G,MATCH(F46,Datos_Productos!B:B,0))</f>
        <v>41</v>
      </c>
      <c r="Y46">
        <f t="shared" si="5"/>
        <v>-0.45537791720984738</v>
      </c>
      <c r="Z46" t="str">
        <f t="shared" si="6"/>
        <v>No</v>
      </c>
      <c r="AA46" t="str">
        <f t="shared" si="7"/>
        <v>No</v>
      </c>
    </row>
    <row r="47" spans="1:27" x14ac:dyDescent="0.25">
      <c r="A47" t="s">
        <v>96</v>
      </c>
      <c r="B47" s="7">
        <v>45299</v>
      </c>
      <c r="C47" t="s">
        <v>32</v>
      </c>
      <c r="D47" t="s">
        <v>33</v>
      </c>
      <c r="E47" t="s">
        <v>45</v>
      </c>
      <c r="F47" t="s">
        <v>46</v>
      </c>
      <c r="G47" t="s">
        <v>34</v>
      </c>
      <c r="H47" s="3">
        <v>1189</v>
      </c>
      <c r="I47" s="3">
        <v>4</v>
      </c>
      <c r="J47">
        <v>4042.6</v>
      </c>
      <c r="K47">
        <v>714.8</v>
      </c>
      <c r="L47">
        <v>1612.27</v>
      </c>
      <c r="M47" s="3">
        <v>3.7</v>
      </c>
      <c r="N47" s="3">
        <v>7</v>
      </c>
      <c r="O47">
        <v>0.15</v>
      </c>
      <c r="P47" t="s">
        <v>35</v>
      </c>
      <c r="Q47" s="5">
        <f t="shared" si="0"/>
        <v>0.39882006629396921</v>
      </c>
      <c r="R47" t="str">
        <f t="shared" si="1"/>
        <v>Riesgo</v>
      </c>
      <c r="S47" s="3" t="str">
        <f t="shared" si="2"/>
        <v>Q1</v>
      </c>
      <c r="T47" s="3">
        <f t="shared" si="3"/>
        <v>2</v>
      </c>
      <c r="U47" t="str">
        <f t="shared" si="4"/>
        <v>Mejorable</v>
      </c>
      <c r="V47">
        <f>VLOOKUP(G47,Datos_Empleados!B:E,4,FALSE)</f>
        <v>37</v>
      </c>
      <c r="W47">
        <f>VLOOKUP(G47,Datos_Empleados!B:I,8,FALSE)</f>
        <v>3.6</v>
      </c>
      <c r="X47">
        <f>INDEX(Datos_Productos!G:G,MATCH(F47,Datos_Productos!B:B,0))</f>
        <v>37</v>
      </c>
      <c r="Y47">
        <f t="shared" si="5"/>
        <v>1.0528339824372841</v>
      </c>
      <c r="Z47" t="str">
        <f t="shared" si="6"/>
        <v>No</v>
      </c>
      <c r="AA47" t="str">
        <f t="shared" si="7"/>
        <v>No</v>
      </c>
    </row>
    <row r="48" spans="1:27" x14ac:dyDescent="0.25">
      <c r="A48" t="s">
        <v>97</v>
      </c>
      <c r="B48" s="7">
        <v>45345</v>
      </c>
      <c r="C48" t="s">
        <v>32</v>
      </c>
      <c r="D48" t="s">
        <v>33</v>
      </c>
      <c r="E48" t="s">
        <v>29</v>
      </c>
      <c r="F48" t="s">
        <v>37</v>
      </c>
      <c r="G48" t="s">
        <v>67</v>
      </c>
      <c r="H48" s="3">
        <v>1297</v>
      </c>
      <c r="I48" s="3">
        <v>1</v>
      </c>
      <c r="J48">
        <v>1102.45</v>
      </c>
      <c r="K48">
        <v>865.39</v>
      </c>
      <c r="L48">
        <v>366.87</v>
      </c>
      <c r="M48" s="3">
        <v>4.4000000000000004</v>
      </c>
      <c r="N48" s="3">
        <v>4</v>
      </c>
      <c r="O48">
        <v>0.15</v>
      </c>
      <c r="P48" t="s">
        <v>27</v>
      </c>
      <c r="Q48" s="5">
        <f t="shared" si="0"/>
        <v>0.33277699668919225</v>
      </c>
      <c r="R48" t="str">
        <f t="shared" si="1"/>
        <v>Estandar</v>
      </c>
      <c r="S48" s="3" t="str">
        <f t="shared" si="2"/>
        <v>Q1</v>
      </c>
      <c r="T48" s="3">
        <f t="shared" si="3"/>
        <v>6</v>
      </c>
      <c r="U48" t="str">
        <f t="shared" si="4"/>
        <v>Buena</v>
      </c>
      <c r="V48">
        <f>VLOOKUP(G48,Datos_Empleados!B:E,4,FALSE)</f>
        <v>15</v>
      </c>
      <c r="W48">
        <f>VLOOKUP(G48,Datos_Empleados!B:I,8,FALSE)</f>
        <v>4.7</v>
      </c>
      <c r="X48">
        <f>INDEX(Datos_Productos!G:G,MATCH(F48,Datos_Productos!B:B,0))</f>
        <v>41</v>
      </c>
      <c r="Y48">
        <f t="shared" si="5"/>
        <v>-1.0284432243342889</v>
      </c>
      <c r="Z48" t="str">
        <f t="shared" si="6"/>
        <v>No</v>
      </c>
      <c r="AA48" t="str">
        <f t="shared" si="7"/>
        <v>No</v>
      </c>
    </row>
    <row r="49" spans="1:27" x14ac:dyDescent="0.25">
      <c r="A49" t="s">
        <v>98</v>
      </c>
      <c r="B49" s="7">
        <v>45313</v>
      </c>
      <c r="C49" t="s">
        <v>44</v>
      </c>
      <c r="D49" t="s">
        <v>23</v>
      </c>
      <c r="E49" t="s">
        <v>24</v>
      </c>
      <c r="F49" t="s">
        <v>58</v>
      </c>
      <c r="G49" t="s">
        <v>34</v>
      </c>
      <c r="H49" s="3">
        <v>703</v>
      </c>
      <c r="I49" s="3">
        <v>5</v>
      </c>
      <c r="J49">
        <v>3515</v>
      </c>
      <c r="K49">
        <v>433.6</v>
      </c>
      <c r="L49">
        <v>1346.98</v>
      </c>
      <c r="M49" s="3">
        <v>3.9</v>
      </c>
      <c r="N49" s="3">
        <v>7</v>
      </c>
      <c r="O49">
        <v>0</v>
      </c>
      <c r="P49" t="s">
        <v>35</v>
      </c>
      <c r="Q49" s="5">
        <f t="shared" si="0"/>
        <v>0.3832091038406828</v>
      </c>
      <c r="R49" t="str">
        <f t="shared" si="1"/>
        <v>Riesgo</v>
      </c>
      <c r="S49" s="3" t="str">
        <f t="shared" si="2"/>
        <v>Q1</v>
      </c>
      <c r="T49" s="3">
        <f t="shared" si="3"/>
        <v>2</v>
      </c>
      <c r="U49" t="str">
        <f t="shared" si="4"/>
        <v>Mejorable</v>
      </c>
      <c r="V49">
        <f>VLOOKUP(G49,Datos_Empleados!B:E,4,FALSE)</f>
        <v>37</v>
      </c>
      <c r="W49">
        <f>VLOOKUP(G49,Datos_Empleados!B:I,8,FALSE)</f>
        <v>3.6</v>
      </c>
      <c r="X49">
        <f>INDEX(Datos_Productos!G:G,MATCH(F49,Datos_Productos!B:B,0))</f>
        <v>37</v>
      </c>
      <c r="Y49">
        <f t="shared" si="5"/>
        <v>0.67935580809492679</v>
      </c>
      <c r="Z49" t="str">
        <f t="shared" si="6"/>
        <v>No</v>
      </c>
      <c r="AA49" t="str">
        <f t="shared" si="7"/>
        <v>No</v>
      </c>
    </row>
    <row r="50" spans="1:27" x14ac:dyDescent="0.25">
      <c r="A50" t="s">
        <v>99</v>
      </c>
      <c r="B50" s="7">
        <v>45315</v>
      </c>
      <c r="C50" t="s">
        <v>22</v>
      </c>
      <c r="D50" t="s">
        <v>33</v>
      </c>
      <c r="E50" t="s">
        <v>45</v>
      </c>
      <c r="F50" t="s">
        <v>56</v>
      </c>
      <c r="G50" t="s">
        <v>26</v>
      </c>
      <c r="H50" s="3">
        <v>1065</v>
      </c>
      <c r="I50" s="3">
        <v>3</v>
      </c>
      <c r="J50">
        <v>2875.5</v>
      </c>
      <c r="K50">
        <v>801.14</v>
      </c>
      <c r="L50">
        <v>712.42</v>
      </c>
      <c r="M50" s="3">
        <v>3.8</v>
      </c>
      <c r="N50" s="3">
        <v>7</v>
      </c>
      <c r="O50">
        <v>0.1</v>
      </c>
      <c r="P50" t="s">
        <v>35</v>
      </c>
      <c r="Q50" s="5">
        <f t="shared" si="0"/>
        <v>0.24775517301338895</v>
      </c>
      <c r="R50" t="str">
        <f t="shared" si="1"/>
        <v>Riesgo</v>
      </c>
      <c r="S50" s="3" t="str">
        <f t="shared" si="2"/>
        <v>Q1</v>
      </c>
      <c r="T50" s="3">
        <f t="shared" si="3"/>
        <v>4</v>
      </c>
      <c r="U50" t="str">
        <f t="shared" si="4"/>
        <v>Mejorable</v>
      </c>
      <c r="V50">
        <f>VLOOKUP(G50,Datos_Empleados!B:E,4,FALSE)</f>
        <v>12</v>
      </c>
      <c r="W50">
        <f>VLOOKUP(G50,Datos_Empleados!B:I,8,FALSE)</f>
        <v>4.5</v>
      </c>
      <c r="X50">
        <f>INDEX(Datos_Productos!G:G,MATCH(F50,Datos_Productos!B:B,0))</f>
        <v>35</v>
      </c>
      <c r="Y50">
        <f t="shared" si="5"/>
        <v>0.2266657161845069</v>
      </c>
      <c r="Z50" t="str">
        <f t="shared" si="6"/>
        <v>No</v>
      </c>
      <c r="AA50" t="str">
        <f t="shared" si="7"/>
        <v>No</v>
      </c>
    </row>
    <row r="51" spans="1:27" x14ac:dyDescent="0.25">
      <c r="A51" t="s">
        <v>100</v>
      </c>
      <c r="B51" s="7">
        <v>45324</v>
      </c>
      <c r="C51" t="s">
        <v>22</v>
      </c>
      <c r="D51" t="s">
        <v>33</v>
      </c>
      <c r="E51" t="s">
        <v>29</v>
      </c>
      <c r="F51" t="s">
        <v>78</v>
      </c>
      <c r="G51" t="s">
        <v>34</v>
      </c>
      <c r="H51" s="3">
        <v>1158</v>
      </c>
      <c r="I51" s="3">
        <v>2</v>
      </c>
      <c r="J51">
        <v>2316</v>
      </c>
      <c r="K51">
        <v>875.73</v>
      </c>
      <c r="L51">
        <v>564.53</v>
      </c>
      <c r="M51" s="3">
        <v>4.3</v>
      </c>
      <c r="N51" s="3">
        <v>7</v>
      </c>
      <c r="O51">
        <v>0</v>
      </c>
      <c r="P51" t="s">
        <v>39</v>
      </c>
      <c r="Q51" s="5">
        <f t="shared" si="0"/>
        <v>0.24375215889464594</v>
      </c>
      <c r="R51" t="str">
        <f t="shared" si="1"/>
        <v>Estandar</v>
      </c>
      <c r="S51" s="3" t="str">
        <f t="shared" si="2"/>
        <v>Q1</v>
      </c>
      <c r="T51" s="3">
        <f t="shared" si="3"/>
        <v>6</v>
      </c>
      <c r="U51" t="str">
        <f t="shared" si="4"/>
        <v>Mejorable</v>
      </c>
      <c r="V51">
        <f>VLOOKUP(G51,Datos_Empleados!B:E,4,FALSE)</f>
        <v>37</v>
      </c>
      <c r="W51">
        <f>VLOOKUP(G51,Datos_Empleados!B:I,8,FALSE)</f>
        <v>3.6</v>
      </c>
      <c r="X51">
        <f>INDEX(Datos_Productos!G:G,MATCH(F51,Datos_Productos!B:B,0))</f>
        <v>29</v>
      </c>
      <c r="Y51">
        <f t="shared" si="5"/>
        <v>-0.16939387165580572</v>
      </c>
      <c r="Z51" t="str">
        <f t="shared" si="6"/>
        <v>No</v>
      </c>
      <c r="AA51" t="str">
        <f t="shared" si="7"/>
        <v>No</v>
      </c>
    </row>
    <row r="52" spans="1:27" x14ac:dyDescent="0.25">
      <c r="A52" t="s">
        <v>101</v>
      </c>
      <c r="B52" s="7">
        <v>45323</v>
      </c>
      <c r="C52" t="s">
        <v>32</v>
      </c>
      <c r="D52" t="s">
        <v>23</v>
      </c>
      <c r="E52" t="s">
        <v>24</v>
      </c>
      <c r="F52" t="s">
        <v>48</v>
      </c>
      <c r="G52" t="s">
        <v>26</v>
      </c>
      <c r="H52" s="3">
        <v>429</v>
      </c>
      <c r="I52" s="3">
        <v>4</v>
      </c>
      <c r="J52">
        <v>1716</v>
      </c>
      <c r="K52">
        <v>305.79000000000002</v>
      </c>
      <c r="L52">
        <v>492.85</v>
      </c>
      <c r="M52" s="3">
        <v>3.4</v>
      </c>
      <c r="N52" s="3">
        <v>6</v>
      </c>
      <c r="O52">
        <v>0</v>
      </c>
      <c r="P52" t="s">
        <v>35</v>
      </c>
      <c r="Q52" s="5">
        <f t="shared" si="0"/>
        <v>0.28720862470862474</v>
      </c>
      <c r="R52" t="str">
        <f t="shared" si="1"/>
        <v>Riesgo</v>
      </c>
      <c r="S52" s="3" t="str">
        <f t="shared" si="2"/>
        <v>Q1</v>
      </c>
      <c r="T52" s="3">
        <f t="shared" si="3"/>
        <v>5</v>
      </c>
      <c r="U52" t="str">
        <f t="shared" si="4"/>
        <v>Mejorable</v>
      </c>
      <c r="V52">
        <f>VLOOKUP(G52,Datos_Empleados!B:E,4,FALSE)</f>
        <v>12</v>
      </c>
      <c r="W52">
        <f>VLOOKUP(G52,Datos_Empleados!B:I,8,FALSE)</f>
        <v>4.5</v>
      </c>
      <c r="X52">
        <f>INDEX(Datos_Productos!G:G,MATCH(F52,Datos_Productos!B:B,0))</f>
        <v>38</v>
      </c>
      <c r="Y52">
        <f t="shared" si="5"/>
        <v>-0.59412265218161009</v>
      </c>
      <c r="Z52" t="str">
        <f t="shared" si="6"/>
        <v>No</v>
      </c>
      <c r="AA52" t="str">
        <f t="shared" si="7"/>
        <v>No</v>
      </c>
    </row>
    <row r="53" spans="1:27" x14ac:dyDescent="0.25">
      <c r="A53" t="s">
        <v>102</v>
      </c>
      <c r="B53" s="7">
        <v>45339</v>
      </c>
      <c r="C53" t="s">
        <v>32</v>
      </c>
      <c r="D53" t="s">
        <v>42</v>
      </c>
      <c r="E53" t="s">
        <v>24</v>
      </c>
      <c r="F53" t="s">
        <v>58</v>
      </c>
      <c r="G53" t="s">
        <v>63</v>
      </c>
      <c r="H53" s="3">
        <v>467</v>
      </c>
      <c r="I53" s="3">
        <v>3</v>
      </c>
      <c r="J53">
        <v>1401</v>
      </c>
      <c r="K53">
        <v>334.25</v>
      </c>
      <c r="L53">
        <v>398.25</v>
      </c>
      <c r="M53" s="3">
        <v>4.9000000000000004</v>
      </c>
      <c r="N53" s="3">
        <v>5</v>
      </c>
      <c r="O53">
        <v>0</v>
      </c>
      <c r="P53" t="s">
        <v>27</v>
      </c>
      <c r="Q53" s="5">
        <f t="shared" si="0"/>
        <v>0.28426124197002139</v>
      </c>
      <c r="R53" t="str">
        <f t="shared" si="1"/>
        <v>Premium</v>
      </c>
      <c r="S53" s="3" t="str">
        <f t="shared" si="2"/>
        <v>Q1</v>
      </c>
      <c r="T53" s="3">
        <f t="shared" si="3"/>
        <v>7</v>
      </c>
      <c r="U53" t="str">
        <f t="shared" si="4"/>
        <v>Mejorable</v>
      </c>
      <c r="V53">
        <f>VLOOKUP(G53,Datos_Empleados!B:E,4,FALSE)</f>
        <v>10</v>
      </c>
      <c r="W53">
        <f>VLOOKUP(G53,Datos_Empleados!B:I,8,FALSE)</f>
        <v>4.4000000000000004</v>
      </c>
      <c r="X53">
        <f>INDEX(Datos_Productos!G:G,MATCH(F53,Datos_Productos!B:B,0))</f>
        <v>37</v>
      </c>
      <c r="Y53">
        <f t="shared" si="5"/>
        <v>-0.81710526195765742</v>
      </c>
      <c r="Z53" t="str">
        <f t="shared" si="6"/>
        <v>No</v>
      </c>
      <c r="AA53" t="str">
        <f t="shared" si="7"/>
        <v>No</v>
      </c>
    </row>
    <row r="54" spans="1:27" x14ac:dyDescent="0.25">
      <c r="A54" t="s">
        <v>103</v>
      </c>
      <c r="B54" s="7">
        <v>45340</v>
      </c>
      <c r="C54" t="s">
        <v>44</v>
      </c>
      <c r="D54" t="s">
        <v>42</v>
      </c>
      <c r="E54" t="s">
        <v>29</v>
      </c>
      <c r="F54" t="s">
        <v>30</v>
      </c>
      <c r="G54" t="s">
        <v>26</v>
      </c>
      <c r="H54" s="3">
        <v>904</v>
      </c>
      <c r="I54" s="3">
        <v>3</v>
      </c>
      <c r="J54">
        <v>2712</v>
      </c>
      <c r="K54">
        <v>686.36</v>
      </c>
      <c r="L54">
        <v>652.92999999999995</v>
      </c>
      <c r="M54" s="3">
        <v>4.0999999999999996</v>
      </c>
      <c r="N54" s="3">
        <v>1</v>
      </c>
      <c r="O54">
        <v>0</v>
      </c>
      <c r="P54" t="s">
        <v>35</v>
      </c>
      <c r="Q54" s="5">
        <f t="shared" si="0"/>
        <v>0.24075589970501474</v>
      </c>
      <c r="R54" t="str">
        <f t="shared" si="1"/>
        <v>Estandar</v>
      </c>
      <c r="S54" s="3" t="str">
        <f t="shared" si="2"/>
        <v>Q1</v>
      </c>
      <c r="T54" s="3">
        <f t="shared" si="3"/>
        <v>1</v>
      </c>
      <c r="U54" t="str">
        <f t="shared" si="4"/>
        <v>Excelente</v>
      </c>
      <c r="V54">
        <f>VLOOKUP(G54,Datos_Empleados!B:E,4,FALSE)</f>
        <v>12</v>
      </c>
      <c r="W54">
        <f>VLOOKUP(G54,Datos_Empleados!B:I,8,FALSE)</f>
        <v>4.5</v>
      </c>
      <c r="X54">
        <f>INDEX(Datos_Productos!G:G,MATCH(F54,Datos_Productos!B:B,0))</f>
        <v>41</v>
      </c>
      <c r="Y54">
        <f t="shared" si="5"/>
        <v>0.1109271234912252</v>
      </c>
      <c r="Z54" t="str">
        <f t="shared" si="6"/>
        <v>No</v>
      </c>
      <c r="AA54" t="str">
        <f t="shared" si="7"/>
        <v>No</v>
      </c>
    </row>
    <row r="55" spans="1:27" x14ac:dyDescent="0.25">
      <c r="A55" t="s">
        <v>104</v>
      </c>
      <c r="B55" s="7">
        <v>45360</v>
      </c>
      <c r="C55" t="s">
        <v>44</v>
      </c>
      <c r="D55" t="s">
        <v>42</v>
      </c>
      <c r="E55" t="s">
        <v>45</v>
      </c>
      <c r="F55" t="s">
        <v>65</v>
      </c>
      <c r="G55" t="s">
        <v>38</v>
      </c>
      <c r="H55" s="3">
        <v>612</v>
      </c>
      <c r="I55" s="3">
        <v>4</v>
      </c>
      <c r="J55">
        <v>2080.8000000000002</v>
      </c>
      <c r="K55">
        <v>380.12</v>
      </c>
      <c r="L55">
        <v>788.4</v>
      </c>
      <c r="M55" s="3">
        <v>4.9000000000000004</v>
      </c>
      <c r="N55" s="3">
        <v>6</v>
      </c>
      <c r="O55">
        <v>0.15</v>
      </c>
      <c r="P55" t="s">
        <v>35</v>
      </c>
      <c r="Q55" s="5">
        <f t="shared" si="0"/>
        <v>0.37889273356401382</v>
      </c>
      <c r="R55" t="str">
        <f t="shared" si="1"/>
        <v>Premium</v>
      </c>
      <c r="S55" s="3" t="str">
        <f t="shared" si="2"/>
        <v>Q1</v>
      </c>
      <c r="T55" s="3">
        <f t="shared" si="3"/>
        <v>7</v>
      </c>
      <c r="U55" t="str">
        <f t="shared" si="4"/>
        <v>Mejorable</v>
      </c>
      <c r="V55">
        <f>VLOOKUP(G55,Datos_Empleados!B:E,4,FALSE)</f>
        <v>32</v>
      </c>
      <c r="W55">
        <f>VLOOKUP(G55,Datos_Empleados!B:I,8,FALSE)</f>
        <v>4</v>
      </c>
      <c r="X55">
        <f>INDEX(Datos_Productos!G:G,MATCH(F55,Datos_Productos!B:B,0))</f>
        <v>38</v>
      </c>
      <c r="Y55">
        <f t="shared" si="5"/>
        <v>-0.33588755362192091</v>
      </c>
      <c r="Z55" t="str">
        <f t="shared" si="6"/>
        <v>No</v>
      </c>
      <c r="AA55" t="str">
        <f t="shared" si="7"/>
        <v>No</v>
      </c>
    </row>
    <row r="56" spans="1:27" x14ac:dyDescent="0.25">
      <c r="A56" t="s">
        <v>105</v>
      </c>
      <c r="B56" s="7">
        <v>45311</v>
      </c>
      <c r="C56" t="s">
        <v>44</v>
      </c>
      <c r="D56" t="s">
        <v>23</v>
      </c>
      <c r="E56" t="s">
        <v>24</v>
      </c>
      <c r="F56" t="s">
        <v>58</v>
      </c>
      <c r="G56" t="s">
        <v>71</v>
      </c>
      <c r="H56" s="3">
        <v>851</v>
      </c>
      <c r="I56" s="3">
        <v>4</v>
      </c>
      <c r="J56">
        <v>2893.4</v>
      </c>
      <c r="K56">
        <v>584.73</v>
      </c>
      <c r="L56">
        <v>905.3</v>
      </c>
      <c r="M56" s="3">
        <v>4.5</v>
      </c>
      <c r="N56" s="3">
        <v>3</v>
      </c>
      <c r="O56">
        <v>0.15</v>
      </c>
      <c r="P56" t="s">
        <v>35</v>
      </c>
      <c r="Q56" s="5">
        <f t="shared" si="0"/>
        <v>0.31288449574894583</v>
      </c>
      <c r="R56" t="str">
        <f t="shared" si="1"/>
        <v>Estandar</v>
      </c>
      <c r="S56" s="3" t="str">
        <f t="shared" si="2"/>
        <v>Q1</v>
      </c>
      <c r="T56" s="3">
        <f t="shared" si="3"/>
        <v>7</v>
      </c>
      <c r="U56" t="str">
        <f t="shared" si="4"/>
        <v>Buena</v>
      </c>
      <c r="V56">
        <f>VLOOKUP(G56,Datos_Empleados!B:E,4,FALSE)</f>
        <v>33</v>
      </c>
      <c r="W56">
        <f>VLOOKUP(G56,Datos_Empleados!B:I,8,FALSE)</f>
        <v>4.0999999999999996</v>
      </c>
      <c r="X56">
        <f>INDEX(Datos_Productos!G:G,MATCH(F56,Datos_Productos!B:B,0))</f>
        <v>37</v>
      </c>
      <c r="Y56">
        <f t="shared" si="5"/>
        <v>0.23933679147019346</v>
      </c>
      <c r="Z56" t="str">
        <f t="shared" si="6"/>
        <v>No</v>
      </c>
      <c r="AA56" t="str">
        <f t="shared" si="7"/>
        <v>No</v>
      </c>
    </row>
    <row r="57" spans="1:27" x14ac:dyDescent="0.25">
      <c r="A57" t="s">
        <v>106</v>
      </c>
      <c r="B57" s="7">
        <v>45323</v>
      </c>
      <c r="C57" t="s">
        <v>22</v>
      </c>
      <c r="D57" t="s">
        <v>33</v>
      </c>
      <c r="E57" t="s">
        <v>45</v>
      </c>
      <c r="F57" t="s">
        <v>65</v>
      </c>
      <c r="G57" t="s">
        <v>53</v>
      </c>
      <c r="H57" s="3">
        <v>1183</v>
      </c>
      <c r="I57" s="3">
        <v>5</v>
      </c>
      <c r="J57">
        <v>5027.75</v>
      </c>
      <c r="K57">
        <v>789.39</v>
      </c>
      <c r="L57">
        <v>1672.84</v>
      </c>
      <c r="M57" s="3">
        <v>4</v>
      </c>
      <c r="N57" s="3">
        <v>3</v>
      </c>
      <c r="O57">
        <v>0.15</v>
      </c>
      <c r="P57" t="s">
        <v>39</v>
      </c>
      <c r="Q57" s="5">
        <f t="shared" si="0"/>
        <v>0.33272139625080799</v>
      </c>
      <c r="R57" t="str">
        <f t="shared" si="1"/>
        <v>Riesgo</v>
      </c>
      <c r="S57" s="3" t="str">
        <f t="shared" si="2"/>
        <v>Q1</v>
      </c>
      <c r="T57" s="3">
        <f t="shared" si="3"/>
        <v>5</v>
      </c>
      <c r="U57" t="str">
        <f t="shared" si="4"/>
        <v>Buena</v>
      </c>
      <c r="V57">
        <f>VLOOKUP(G57,Datos_Empleados!B:E,4,FALSE)</f>
        <v>12</v>
      </c>
      <c r="W57">
        <f>VLOOKUP(G57,Datos_Empleados!B:I,8,FALSE)</f>
        <v>4.3</v>
      </c>
      <c r="X57">
        <f>INDEX(Datos_Productos!G:G,MATCH(F57,Datos_Productos!B:B,0))</f>
        <v>38</v>
      </c>
      <c r="Y57">
        <f t="shared" si="5"/>
        <v>1.7502032459956112</v>
      </c>
      <c r="Z57" t="str">
        <f t="shared" si="6"/>
        <v>No</v>
      </c>
      <c r="AA57" t="str">
        <f t="shared" si="7"/>
        <v>No</v>
      </c>
    </row>
    <row r="58" spans="1:27" x14ac:dyDescent="0.25">
      <c r="A58" t="s">
        <v>107</v>
      </c>
      <c r="B58" s="7">
        <v>45354</v>
      </c>
      <c r="C58" t="s">
        <v>32</v>
      </c>
      <c r="D58" t="s">
        <v>33</v>
      </c>
      <c r="E58" t="s">
        <v>45</v>
      </c>
      <c r="F58" t="s">
        <v>56</v>
      </c>
      <c r="G58" t="s">
        <v>71</v>
      </c>
      <c r="H58" s="3">
        <v>882</v>
      </c>
      <c r="I58" s="3">
        <v>5</v>
      </c>
      <c r="J58">
        <v>4410</v>
      </c>
      <c r="K58">
        <v>620.33000000000004</v>
      </c>
      <c r="L58">
        <v>1308.33</v>
      </c>
      <c r="M58" s="3">
        <v>3.4</v>
      </c>
      <c r="N58" s="3">
        <v>2</v>
      </c>
      <c r="O58">
        <v>0</v>
      </c>
      <c r="P58" t="s">
        <v>27</v>
      </c>
      <c r="Q58" s="5">
        <f t="shared" si="0"/>
        <v>0.29667346938775507</v>
      </c>
      <c r="R58" t="str">
        <f t="shared" si="1"/>
        <v>Riesgo</v>
      </c>
      <c r="S58" s="3" t="str">
        <f t="shared" si="2"/>
        <v>Q1</v>
      </c>
      <c r="T58" s="3">
        <f t="shared" si="3"/>
        <v>1</v>
      </c>
      <c r="U58" t="str">
        <f t="shared" si="4"/>
        <v>Excelente</v>
      </c>
      <c r="V58">
        <f>VLOOKUP(G58,Datos_Empleados!B:E,4,FALSE)</f>
        <v>33</v>
      </c>
      <c r="W58">
        <f>VLOOKUP(G58,Datos_Empleados!B:I,8,FALSE)</f>
        <v>4.0999999999999996</v>
      </c>
      <c r="X58">
        <f>INDEX(Datos_Productos!G:G,MATCH(F58,Datos_Productos!B:B,0))</f>
        <v>35</v>
      </c>
      <c r="Y58">
        <f t="shared" si="5"/>
        <v>1.3129095723792517</v>
      </c>
      <c r="Z58" t="str">
        <f t="shared" si="6"/>
        <v>No</v>
      </c>
      <c r="AA58" t="str">
        <f t="shared" si="7"/>
        <v>No</v>
      </c>
    </row>
    <row r="59" spans="1:27" x14ac:dyDescent="0.25">
      <c r="A59" t="s">
        <v>108</v>
      </c>
      <c r="B59" s="7">
        <v>45344</v>
      </c>
      <c r="C59" t="s">
        <v>44</v>
      </c>
      <c r="D59" t="s">
        <v>42</v>
      </c>
      <c r="E59" t="s">
        <v>29</v>
      </c>
      <c r="F59" t="s">
        <v>78</v>
      </c>
      <c r="G59" t="s">
        <v>53</v>
      </c>
      <c r="H59" s="3">
        <v>1302</v>
      </c>
      <c r="I59" s="3">
        <v>4</v>
      </c>
      <c r="J59">
        <v>5208</v>
      </c>
      <c r="K59">
        <v>805.43</v>
      </c>
      <c r="L59">
        <v>1986.28</v>
      </c>
      <c r="M59" s="3">
        <v>3.4</v>
      </c>
      <c r="N59" s="3">
        <v>6</v>
      </c>
      <c r="O59">
        <v>0</v>
      </c>
      <c r="P59" t="s">
        <v>39</v>
      </c>
      <c r="Q59" s="5">
        <f t="shared" si="0"/>
        <v>0.38139016897081413</v>
      </c>
      <c r="R59" t="str">
        <f t="shared" si="1"/>
        <v>Riesgo</v>
      </c>
      <c r="S59" s="3" t="str">
        <f t="shared" si="2"/>
        <v>Q1</v>
      </c>
      <c r="T59" s="3">
        <f t="shared" si="3"/>
        <v>5</v>
      </c>
      <c r="U59" t="str">
        <f t="shared" si="4"/>
        <v>Mejorable</v>
      </c>
      <c r="V59">
        <f>VLOOKUP(G59,Datos_Empleados!B:E,4,FALSE)</f>
        <v>12</v>
      </c>
      <c r="W59">
        <f>VLOOKUP(G59,Datos_Empleados!B:I,8,FALSE)</f>
        <v>4.3</v>
      </c>
      <c r="X59">
        <f>INDEX(Datos_Productos!G:G,MATCH(F59,Datos_Productos!B:B,0))</f>
        <v>29</v>
      </c>
      <c r="Y59">
        <f t="shared" si="5"/>
        <v>1.8777988504785716</v>
      </c>
      <c r="Z59" t="str">
        <f t="shared" si="6"/>
        <v>No</v>
      </c>
      <c r="AA59" t="str">
        <f t="shared" si="7"/>
        <v>No</v>
      </c>
    </row>
    <row r="60" spans="1:27" x14ac:dyDescent="0.25">
      <c r="A60" t="s">
        <v>109</v>
      </c>
      <c r="B60" s="7">
        <v>45331</v>
      </c>
      <c r="C60" t="s">
        <v>41</v>
      </c>
      <c r="D60" t="s">
        <v>33</v>
      </c>
      <c r="E60" t="s">
        <v>24</v>
      </c>
      <c r="F60" t="s">
        <v>58</v>
      </c>
      <c r="G60" t="s">
        <v>38</v>
      </c>
      <c r="H60" s="3">
        <v>735</v>
      </c>
      <c r="I60" s="3">
        <v>5</v>
      </c>
      <c r="J60">
        <v>3307.5</v>
      </c>
      <c r="K60">
        <v>492.72</v>
      </c>
      <c r="L60">
        <v>1090.28</v>
      </c>
      <c r="M60" s="3">
        <v>3.9</v>
      </c>
      <c r="N60" s="3">
        <v>3</v>
      </c>
      <c r="O60">
        <v>0.1</v>
      </c>
      <c r="P60" t="s">
        <v>35</v>
      </c>
      <c r="Q60" s="5">
        <f t="shared" si="0"/>
        <v>0.32963869992441419</v>
      </c>
      <c r="R60" t="str">
        <f t="shared" si="1"/>
        <v>Riesgo</v>
      </c>
      <c r="S60" s="3" t="str">
        <f t="shared" si="2"/>
        <v>Q1</v>
      </c>
      <c r="T60" s="3">
        <f t="shared" si="3"/>
        <v>6</v>
      </c>
      <c r="U60" t="str">
        <f t="shared" si="4"/>
        <v>Buena</v>
      </c>
      <c r="V60">
        <f>VLOOKUP(G60,Datos_Empleados!B:E,4,FALSE)</f>
        <v>32</v>
      </c>
      <c r="W60">
        <f>VLOOKUP(G60,Datos_Empleados!B:I,8,FALSE)</f>
        <v>4</v>
      </c>
      <c r="X60">
        <f>INDEX(Datos_Productos!G:G,MATCH(F60,Datos_Productos!B:B,0))</f>
        <v>37</v>
      </c>
      <c r="Y60">
        <f t="shared" si="5"/>
        <v>0.53247043816308604</v>
      </c>
      <c r="Z60" t="str">
        <f t="shared" si="6"/>
        <v>No</v>
      </c>
      <c r="AA60" t="str">
        <f t="shared" si="7"/>
        <v>No</v>
      </c>
    </row>
    <row r="61" spans="1:27" x14ac:dyDescent="0.25">
      <c r="A61" t="s">
        <v>110</v>
      </c>
      <c r="B61" s="7">
        <v>45321</v>
      </c>
      <c r="C61" t="s">
        <v>22</v>
      </c>
      <c r="D61" t="s">
        <v>42</v>
      </c>
      <c r="E61" t="s">
        <v>29</v>
      </c>
      <c r="F61" t="s">
        <v>37</v>
      </c>
      <c r="G61" t="s">
        <v>63</v>
      </c>
      <c r="H61" s="3">
        <v>1348</v>
      </c>
      <c r="I61" s="3">
        <v>2</v>
      </c>
      <c r="J61">
        <v>2561.1999999999998</v>
      </c>
      <c r="K61">
        <v>867.14</v>
      </c>
      <c r="L61">
        <v>913.64</v>
      </c>
      <c r="M61" s="3">
        <v>4</v>
      </c>
      <c r="N61" s="3">
        <v>6</v>
      </c>
      <c r="O61">
        <v>0.05</v>
      </c>
      <c r="P61" t="s">
        <v>27</v>
      </c>
      <c r="Q61" s="5">
        <f t="shared" si="0"/>
        <v>0.35672341090114013</v>
      </c>
      <c r="R61" t="str">
        <f t="shared" si="1"/>
        <v>Riesgo</v>
      </c>
      <c r="S61" s="3" t="str">
        <f t="shared" si="2"/>
        <v>Q1</v>
      </c>
      <c r="T61" s="3">
        <f t="shared" si="3"/>
        <v>3</v>
      </c>
      <c r="U61" t="str">
        <f t="shared" si="4"/>
        <v>Mejorable</v>
      </c>
      <c r="V61">
        <f>VLOOKUP(G61,Datos_Empleados!B:E,4,FALSE)</f>
        <v>10</v>
      </c>
      <c r="W61">
        <f>VLOOKUP(G61,Datos_Empleados!B:I,8,FALSE)</f>
        <v>4.4000000000000004</v>
      </c>
      <c r="X61">
        <f>INDEX(Datos_Productos!G:G,MATCH(F61,Datos_Productos!B:B,0))</f>
        <v>41</v>
      </c>
      <c r="Y61">
        <f t="shared" si="5"/>
        <v>4.1786233190728925E-3</v>
      </c>
      <c r="Z61" t="str">
        <f t="shared" si="6"/>
        <v>No</v>
      </c>
      <c r="AA61" t="str">
        <f t="shared" si="7"/>
        <v>No</v>
      </c>
    </row>
    <row r="62" spans="1:27" x14ac:dyDescent="0.25">
      <c r="A62" t="s">
        <v>111</v>
      </c>
      <c r="B62" s="7">
        <v>45359</v>
      </c>
      <c r="C62" t="s">
        <v>41</v>
      </c>
      <c r="D62" t="s">
        <v>23</v>
      </c>
      <c r="E62" t="s">
        <v>29</v>
      </c>
      <c r="F62" t="s">
        <v>37</v>
      </c>
      <c r="G62" t="s">
        <v>26</v>
      </c>
      <c r="H62" s="3">
        <v>1169</v>
      </c>
      <c r="I62" s="3">
        <v>2</v>
      </c>
      <c r="J62">
        <v>2104.1999999999998</v>
      </c>
      <c r="K62">
        <v>704.71</v>
      </c>
      <c r="L62">
        <v>835.73</v>
      </c>
      <c r="M62" s="3">
        <v>4.0999999999999996</v>
      </c>
      <c r="N62" s="3">
        <v>3</v>
      </c>
      <c r="O62">
        <v>0.1</v>
      </c>
      <c r="P62" t="s">
        <v>39</v>
      </c>
      <c r="Q62" s="5">
        <f t="shared" si="0"/>
        <v>0.39717232202262148</v>
      </c>
      <c r="R62" t="str">
        <f t="shared" si="1"/>
        <v>Estandar</v>
      </c>
      <c r="S62" s="3" t="str">
        <f t="shared" si="2"/>
        <v>Q1</v>
      </c>
      <c r="T62" s="3">
        <f t="shared" si="3"/>
        <v>6</v>
      </c>
      <c r="U62" t="str">
        <f t="shared" si="4"/>
        <v>Buena</v>
      </c>
      <c r="V62">
        <f>VLOOKUP(G62,Datos_Empleados!B:E,4,FALSE)</f>
        <v>12</v>
      </c>
      <c r="W62">
        <f>VLOOKUP(G62,Datos_Empleados!B:I,8,FALSE)</f>
        <v>4.5</v>
      </c>
      <c r="X62">
        <f>INDEX(Datos_Productos!G:G,MATCH(F62,Datos_Productos!B:B,0))</f>
        <v>41</v>
      </c>
      <c r="Y62">
        <f t="shared" si="5"/>
        <v>-0.31932313118141481</v>
      </c>
      <c r="Z62" t="str">
        <f t="shared" si="6"/>
        <v>No</v>
      </c>
      <c r="AA62" t="str">
        <f t="shared" si="7"/>
        <v>No</v>
      </c>
    </row>
    <row r="63" spans="1:27" x14ac:dyDescent="0.25">
      <c r="A63" t="s">
        <v>112</v>
      </c>
      <c r="B63" s="7">
        <v>45298</v>
      </c>
      <c r="C63" t="s">
        <v>41</v>
      </c>
      <c r="D63" t="s">
        <v>42</v>
      </c>
      <c r="E63" t="s">
        <v>29</v>
      </c>
      <c r="F63" t="s">
        <v>78</v>
      </c>
      <c r="G63" t="s">
        <v>53</v>
      </c>
      <c r="H63" s="3">
        <v>905</v>
      </c>
      <c r="I63" s="3">
        <v>1</v>
      </c>
      <c r="J63">
        <v>814.5</v>
      </c>
      <c r="K63">
        <v>627.96</v>
      </c>
      <c r="L63">
        <v>249.34</v>
      </c>
      <c r="M63" s="3">
        <v>3.9</v>
      </c>
      <c r="N63" s="3">
        <v>2</v>
      </c>
      <c r="O63">
        <v>0.1</v>
      </c>
      <c r="P63" t="s">
        <v>39</v>
      </c>
      <c r="Q63" s="5">
        <f t="shared" si="0"/>
        <v>0.30612645794966237</v>
      </c>
      <c r="R63" t="str">
        <f t="shared" si="1"/>
        <v>Riesgo</v>
      </c>
      <c r="S63" s="3" t="str">
        <f t="shared" si="2"/>
        <v>Q1</v>
      </c>
      <c r="T63" s="3">
        <f t="shared" si="3"/>
        <v>1</v>
      </c>
      <c r="U63" t="str">
        <f t="shared" si="4"/>
        <v>Excelente</v>
      </c>
      <c r="V63">
        <f>VLOOKUP(G63,Datos_Empleados!B:E,4,FALSE)</f>
        <v>12</v>
      </c>
      <c r="W63">
        <f>VLOOKUP(G63,Datos_Empleados!B:I,8,FALSE)</f>
        <v>4.3</v>
      </c>
      <c r="X63">
        <f>INDEX(Datos_Productos!G:G,MATCH(F63,Datos_Productos!B:B,0))</f>
        <v>29</v>
      </c>
      <c r="Y63">
        <f t="shared" si="5"/>
        <v>-1.2322776449216313</v>
      </c>
      <c r="Z63" t="str">
        <f t="shared" si="6"/>
        <v>No</v>
      </c>
      <c r="AA63" t="str">
        <f t="shared" si="7"/>
        <v>No</v>
      </c>
    </row>
    <row r="64" spans="1:27" x14ac:dyDescent="0.25">
      <c r="A64" t="s">
        <v>113</v>
      </c>
      <c r="B64" s="7">
        <v>45324</v>
      </c>
      <c r="C64" t="s">
        <v>44</v>
      </c>
      <c r="D64" t="s">
        <v>23</v>
      </c>
      <c r="E64" t="s">
        <v>29</v>
      </c>
      <c r="F64" t="s">
        <v>37</v>
      </c>
      <c r="G64" t="s">
        <v>53</v>
      </c>
      <c r="H64" s="3">
        <v>875</v>
      </c>
      <c r="I64" s="3">
        <v>5</v>
      </c>
      <c r="J64">
        <v>4375</v>
      </c>
      <c r="K64">
        <v>551.54999999999995</v>
      </c>
      <c r="L64">
        <v>1617.24</v>
      </c>
      <c r="M64" s="3">
        <v>4.5999999999999996</v>
      </c>
      <c r="N64" s="3">
        <v>3</v>
      </c>
      <c r="O64">
        <v>0</v>
      </c>
      <c r="P64" t="s">
        <v>39</v>
      </c>
      <c r="Q64" s="5">
        <f t="shared" si="0"/>
        <v>0.36965485714285712</v>
      </c>
      <c r="R64" t="str">
        <f t="shared" si="1"/>
        <v>Premium</v>
      </c>
      <c r="S64" s="3" t="str">
        <f t="shared" si="2"/>
        <v>Q1</v>
      </c>
      <c r="T64" s="3">
        <f t="shared" si="3"/>
        <v>6</v>
      </c>
      <c r="U64" t="str">
        <f t="shared" si="4"/>
        <v>Buena</v>
      </c>
      <c r="V64">
        <f>VLOOKUP(G64,Datos_Empleados!B:E,4,FALSE)</f>
        <v>12</v>
      </c>
      <c r="W64">
        <f>VLOOKUP(G64,Datos_Empleados!B:I,8,FALSE)</f>
        <v>4.3</v>
      </c>
      <c r="X64">
        <f>INDEX(Datos_Productos!G:G,MATCH(F64,Datos_Productos!B:B,0))</f>
        <v>41</v>
      </c>
      <c r="Y64">
        <f t="shared" si="5"/>
        <v>1.2881337268485797</v>
      </c>
      <c r="Z64" t="str">
        <f t="shared" si="6"/>
        <v>No</v>
      </c>
      <c r="AA64" t="str">
        <f t="shared" si="7"/>
        <v>No</v>
      </c>
    </row>
    <row r="65" spans="1:27" x14ac:dyDescent="0.25">
      <c r="A65" t="s">
        <v>114</v>
      </c>
      <c r="B65" s="7">
        <v>45323</v>
      </c>
      <c r="C65" t="s">
        <v>22</v>
      </c>
      <c r="D65" t="s">
        <v>42</v>
      </c>
      <c r="E65" t="s">
        <v>45</v>
      </c>
      <c r="F65" t="s">
        <v>46</v>
      </c>
      <c r="G65" t="s">
        <v>26</v>
      </c>
      <c r="H65" s="3">
        <v>1135</v>
      </c>
      <c r="I65" s="3">
        <v>4</v>
      </c>
      <c r="J65">
        <v>3859</v>
      </c>
      <c r="K65">
        <v>887.23</v>
      </c>
      <c r="L65">
        <v>842.42</v>
      </c>
      <c r="M65" s="3">
        <v>3.6</v>
      </c>
      <c r="N65" s="3">
        <v>5</v>
      </c>
      <c r="O65">
        <v>0.15</v>
      </c>
      <c r="P65" t="s">
        <v>35</v>
      </c>
      <c r="Q65" s="5">
        <f t="shared" si="0"/>
        <v>0.21830007774034724</v>
      </c>
      <c r="R65" t="str">
        <f t="shared" si="1"/>
        <v>Riesgo</v>
      </c>
      <c r="S65" s="3" t="str">
        <f t="shared" si="2"/>
        <v>Q1</v>
      </c>
      <c r="T65" s="3">
        <f t="shared" si="3"/>
        <v>5</v>
      </c>
      <c r="U65" t="str">
        <f t="shared" si="4"/>
        <v>Mejorable</v>
      </c>
      <c r="V65">
        <f>VLOOKUP(G65,Datos_Empleados!B:E,4,FALSE)</f>
        <v>12</v>
      </c>
      <c r="W65">
        <f>VLOOKUP(G65,Datos_Empleados!B:I,8,FALSE)</f>
        <v>4.5</v>
      </c>
      <c r="X65">
        <f>INDEX(Datos_Productos!G:G,MATCH(F65,Datos_Productos!B:B,0))</f>
        <v>37</v>
      </c>
      <c r="Y65">
        <f t="shared" si="5"/>
        <v>0.92286697559638797</v>
      </c>
      <c r="Z65" t="str">
        <f t="shared" si="6"/>
        <v>No</v>
      </c>
      <c r="AA65" t="str">
        <f t="shared" si="7"/>
        <v>No</v>
      </c>
    </row>
    <row r="66" spans="1:27" x14ac:dyDescent="0.25">
      <c r="A66" t="s">
        <v>115</v>
      </c>
      <c r="B66" s="7">
        <v>45331</v>
      </c>
      <c r="C66" t="s">
        <v>22</v>
      </c>
      <c r="D66" t="s">
        <v>42</v>
      </c>
      <c r="E66" t="s">
        <v>24</v>
      </c>
      <c r="F66" t="s">
        <v>48</v>
      </c>
      <c r="G66" t="s">
        <v>26</v>
      </c>
      <c r="H66" s="3">
        <v>516</v>
      </c>
      <c r="I66" s="3">
        <v>3</v>
      </c>
      <c r="J66">
        <v>1548</v>
      </c>
      <c r="K66">
        <v>325.81</v>
      </c>
      <c r="L66">
        <v>570.58000000000004</v>
      </c>
      <c r="M66" s="3">
        <v>3.3</v>
      </c>
      <c r="N66" s="3">
        <v>1</v>
      </c>
      <c r="O66">
        <v>0</v>
      </c>
      <c r="P66" t="s">
        <v>39</v>
      </c>
      <c r="Q66" s="5">
        <f t="shared" si="0"/>
        <v>0.36859173126614991</v>
      </c>
      <c r="R66" t="str">
        <f t="shared" si="1"/>
        <v>Riesgo</v>
      </c>
      <c r="S66" s="3" t="str">
        <f t="shared" si="2"/>
        <v>Q1</v>
      </c>
      <c r="T66" s="3">
        <f t="shared" si="3"/>
        <v>6</v>
      </c>
      <c r="U66" t="str">
        <f t="shared" si="4"/>
        <v>Excelente</v>
      </c>
      <c r="V66">
        <f>VLOOKUP(G66,Datos_Empleados!B:E,4,FALSE)</f>
        <v>12</v>
      </c>
      <c r="W66">
        <f>VLOOKUP(G66,Datos_Empleados!B:I,8,FALSE)</f>
        <v>4.5</v>
      </c>
      <c r="X66">
        <f>INDEX(Datos_Productos!G:G,MATCH(F66,Datos_Productos!B:B,0))</f>
        <v>38</v>
      </c>
      <c r="Y66">
        <f t="shared" si="5"/>
        <v>-0.71304671072883541</v>
      </c>
      <c r="Z66" t="str">
        <f t="shared" si="6"/>
        <v>No</v>
      </c>
      <c r="AA66" t="str">
        <f t="shared" si="7"/>
        <v>No</v>
      </c>
    </row>
    <row r="67" spans="1:27" x14ac:dyDescent="0.25">
      <c r="A67" t="s">
        <v>116</v>
      </c>
      <c r="B67" s="7">
        <v>45292</v>
      </c>
      <c r="C67" t="s">
        <v>44</v>
      </c>
      <c r="D67" t="s">
        <v>33</v>
      </c>
      <c r="E67" t="s">
        <v>24</v>
      </c>
      <c r="F67" t="s">
        <v>58</v>
      </c>
      <c r="G67" t="s">
        <v>53</v>
      </c>
      <c r="H67" s="3">
        <v>598</v>
      </c>
      <c r="I67" s="3">
        <v>1</v>
      </c>
      <c r="J67">
        <v>568.1</v>
      </c>
      <c r="K67">
        <v>393.26</v>
      </c>
      <c r="L67">
        <v>194.51</v>
      </c>
      <c r="M67" s="3">
        <v>3.6</v>
      </c>
      <c r="N67" s="3">
        <v>7</v>
      </c>
      <c r="O67">
        <v>0.05</v>
      </c>
      <c r="P67" t="s">
        <v>35</v>
      </c>
      <c r="Q67" s="5">
        <f t="shared" ref="Q67:Q101" si="8">L67/J67</f>
        <v>0.34238690371413483</v>
      </c>
      <c r="R67" t="str">
        <f t="shared" ref="R67:R101" si="9">IF(M67&gt;4.5,"Premium",IF(M67&gt;4,"Estandar","Riesgo"))</f>
        <v>Riesgo</v>
      </c>
      <c r="S67" s="3" t="str">
        <f t="shared" ref="S67:S101" si="10">"Q"&amp;ROUNDUP(MONTH(B67)/3,0)</f>
        <v>Q1</v>
      </c>
      <c r="T67" s="3">
        <f t="shared" ref="T67:T101" si="11">WEEKDAY(B67)</f>
        <v>2</v>
      </c>
      <c r="U67" t="str">
        <f t="shared" ref="U67:U101" si="12">IF(N67&lt;=2,"Excelente",IF(N67&lt;=4,"Buena","Mejorable"))</f>
        <v>Mejorable</v>
      </c>
      <c r="V67">
        <f>VLOOKUP(G67,Datos_Empleados!B:E,4,FALSE)</f>
        <v>12</v>
      </c>
      <c r="W67">
        <f>VLOOKUP(G67,Datos_Empleados!B:I,8,FALSE)</f>
        <v>4.3</v>
      </c>
      <c r="X67">
        <f>INDEX(Datos_Productos!G:G,MATCH(F67,Datos_Productos!B:B,0))</f>
        <v>37</v>
      </c>
      <c r="Y67">
        <f t="shared" ref="Y67:Y101" si="13">(J67-AVERAGE($J$2:$J$101))/_xlfn.STDEV.S($J$2:$J$101)</f>
        <v>-1.4066995974575618</v>
      </c>
      <c r="Z67" t="str">
        <f t="shared" ref="Z67:Z101" si="14">IF(ABS(Y67)&gt;2.5,"Sí","No")</f>
        <v>No</v>
      </c>
      <c r="AA67" t="str">
        <f t="shared" ref="AA67:AA101" si="15">IF(OR(J67&lt;$AH$4,J67&gt;$AH$5),"Sí","No")</f>
        <v>No</v>
      </c>
    </row>
    <row r="68" spans="1:27" x14ac:dyDescent="0.25">
      <c r="A68" t="s">
        <v>117</v>
      </c>
      <c r="B68" s="7">
        <v>45301</v>
      </c>
      <c r="C68" t="s">
        <v>32</v>
      </c>
      <c r="D68" t="s">
        <v>33</v>
      </c>
      <c r="E68" t="s">
        <v>24</v>
      </c>
      <c r="F68" t="s">
        <v>58</v>
      </c>
      <c r="G68" t="s">
        <v>26</v>
      </c>
      <c r="H68" s="3">
        <v>735</v>
      </c>
      <c r="I68" s="3">
        <v>1</v>
      </c>
      <c r="J68">
        <v>698.25</v>
      </c>
      <c r="K68">
        <v>536.20000000000005</v>
      </c>
      <c r="L68">
        <v>188.86</v>
      </c>
      <c r="M68" s="3">
        <v>4.8</v>
      </c>
      <c r="N68" s="3">
        <v>7</v>
      </c>
      <c r="O68">
        <v>0.05</v>
      </c>
      <c r="P68" t="s">
        <v>39</v>
      </c>
      <c r="Q68" s="5">
        <f t="shared" si="8"/>
        <v>0.27047619047619048</v>
      </c>
      <c r="R68" t="str">
        <f t="shared" si="9"/>
        <v>Premium</v>
      </c>
      <c r="S68" s="3" t="str">
        <f t="shared" si="10"/>
        <v>Q1</v>
      </c>
      <c r="T68" s="3">
        <f t="shared" si="11"/>
        <v>4</v>
      </c>
      <c r="U68" t="str">
        <f t="shared" si="12"/>
        <v>Mejorable</v>
      </c>
      <c r="V68">
        <f>VLOOKUP(G68,Datos_Empleados!B:E,4,FALSE)</f>
        <v>12</v>
      </c>
      <c r="W68">
        <f>VLOOKUP(G68,Datos_Empleados!B:I,8,FALSE)</f>
        <v>4.5</v>
      </c>
      <c r="X68">
        <f>INDEX(Datos_Productos!G:G,MATCH(F68,Datos_Productos!B:B,0))</f>
        <v>37</v>
      </c>
      <c r="Y68">
        <f t="shared" si="13"/>
        <v>-1.3145688461485059</v>
      </c>
      <c r="Z68" t="str">
        <f t="shared" si="14"/>
        <v>No</v>
      </c>
      <c r="AA68" t="str">
        <f t="shared" si="15"/>
        <v>No</v>
      </c>
    </row>
    <row r="69" spans="1:27" x14ac:dyDescent="0.25">
      <c r="A69" t="s">
        <v>118</v>
      </c>
      <c r="B69" s="7">
        <v>45301</v>
      </c>
      <c r="C69" t="s">
        <v>22</v>
      </c>
      <c r="D69" t="s">
        <v>23</v>
      </c>
      <c r="E69" t="s">
        <v>45</v>
      </c>
      <c r="F69" t="s">
        <v>46</v>
      </c>
      <c r="G69" t="s">
        <v>71</v>
      </c>
      <c r="H69" s="3">
        <v>1049</v>
      </c>
      <c r="I69" s="3">
        <v>1</v>
      </c>
      <c r="J69">
        <v>891.65</v>
      </c>
      <c r="K69">
        <v>773.88</v>
      </c>
      <c r="L69">
        <v>233.85</v>
      </c>
      <c r="M69" s="3">
        <v>4.4000000000000004</v>
      </c>
      <c r="N69" s="3">
        <v>3</v>
      </c>
      <c r="O69">
        <v>0.15</v>
      </c>
      <c r="P69" t="s">
        <v>27</v>
      </c>
      <c r="Q69" s="5">
        <f t="shared" si="8"/>
        <v>0.26226658442213874</v>
      </c>
      <c r="R69" t="str">
        <f t="shared" si="9"/>
        <v>Estandar</v>
      </c>
      <c r="S69" s="3" t="str">
        <f t="shared" si="10"/>
        <v>Q1</v>
      </c>
      <c r="T69" s="3">
        <f t="shared" si="11"/>
        <v>4</v>
      </c>
      <c r="U69" t="str">
        <f t="shared" si="12"/>
        <v>Buena</v>
      </c>
      <c r="V69">
        <f>VLOOKUP(G69,Datos_Empleados!B:E,4,FALSE)</f>
        <v>33</v>
      </c>
      <c r="W69">
        <f>VLOOKUP(G69,Datos_Empleados!B:I,8,FALSE)</f>
        <v>4.0999999999999996</v>
      </c>
      <c r="X69">
        <f>INDEX(Datos_Productos!G:G,MATCH(F69,Datos_Productos!B:B,0))</f>
        <v>37</v>
      </c>
      <c r="Y69">
        <f t="shared" si="13"/>
        <v>-1.1776646025590216</v>
      </c>
      <c r="Z69" t="str">
        <f t="shared" si="14"/>
        <v>No</v>
      </c>
      <c r="AA69" t="str">
        <f t="shared" si="15"/>
        <v>No</v>
      </c>
    </row>
    <row r="70" spans="1:27" x14ac:dyDescent="0.25">
      <c r="A70" t="s">
        <v>119</v>
      </c>
      <c r="B70" s="7">
        <v>45361</v>
      </c>
      <c r="C70" t="s">
        <v>44</v>
      </c>
      <c r="D70" t="s">
        <v>33</v>
      </c>
      <c r="E70" t="s">
        <v>29</v>
      </c>
      <c r="F70" t="s">
        <v>78</v>
      </c>
      <c r="G70" t="s">
        <v>34</v>
      </c>
      <c r="H70" s="3">
        <v>1242</v>
      </c>
      <c r="I70" s="3">
        <v>3</v>
      </c>
      <c r="J70">
        <v>3353.4</v>
      </c>
      <c r="K70">
        <v>751.62</v>
      </c>
      <c r="L70">
        <v>1324.01</v>
      </c>
      <c r="M70" s="3">
        <v>3.5</v>
      </c>
      <c r="N70" s="3">
        <v>6</v>
      </c>
      <c r="O70">
        <v>0.1</v>
      </c>
      <c r="P70" t="s">
        <v>27</v>
      </c>
      <c r="Q70" s="5">
        <f t="shared" si="8"/>
        <v>0.39482614659748316</v>
      </c>
      <c r="R70" t="str">
        <f t="shared" si="9"/>
        <v>Riesgo</v>
      </c>
      <c r="S70" s="3" t="str">
        <f t="shared" si="10"/>
        <v>Q1</v>
      </c>
      <c r="T70" s="3">
        <f t="shared" si="11"/>
        <v>1</v>
      </c>
      <c r="U70" t="str">
        <f t="shared" si="12"/>
        <v>Mejorable</v>
      </c>
      <c r="V70">
        <f>VLOOKUP(G70,Datos_Empleados!B:E,4,FALSE)</f>
        <v>37</v>
      </c>
      <c r="W70">
        <f>VLOOKUP(G70,Datos_Empleados!B:I,8,FALSE)</f>
        <v>3.6</v>
      </c>
      <c r="X70">
        <f>INDEX(Datos_Productos!G:G,MATCH(F70,Datos_Productos!B:B,0))</f>
        <v>29</v>
      </c>
      <c r="Y70">
        <f t="shared" si="13"/>
        <v>0.56496218987331015</v>
      </c>
      <c r="Z70" t="str">
        <f t="shared" si="14"/>
        <v>No</v>
      </c>
      <c r="AA70" t="str">
        <f t="shared" si="15"/>
        <v>No</v>
      </c>
    </row>
    <row r="71" spans="1:27" x14ac:dyDescent="0.25">
      <c r="A71" t="s">
        <v>120</v>
      </c>
      <c r="B71" s="7">
        <v>45367</v>
      </c>
      <c r="C71" t="s">
        <v>22</v>
      </c>
      <c r="D71" t="s">
        <v>42</v>
      </c>
      <c r="E71" t="s">
        <v>45</v>
      </c>
      <c r="F71" t="s">
        <v>46</v>
      </c>
      <c r="G71" t="s">
        <v>34</v>
      </c>
      <c r="H71" s="3">
        <v>779</v>
      </c>
      <c r="I71" s="3">
        <v>4</v>
      </c>
      <c r="J71">
        <v>2648.6</v>
      </c>
      <c r="K71">
        <v>610.12</v>
      </c>
      <c r="L71">
        <v>574.17999999999995</v>
      </c>
      <c r="M71" s="3">
        <v>3.4</v>
      </c>
      <c r="N71" s="3">
        <v>5</v>
      </c>
      <c r="O71">
        <v>0.15</v>
      </c>
      <c r="P71" t="s">
        <v>35</v>
      </c>
      <c r="Q71" s="5">
        <f t="shared" si="8"/>
        <v>0.21678622668579625</v>
      </c>
      <c r="R71" t="str">
        <f t="shared" si="9"/>
        <v>Riesgo</v>
      </c>
      <c r="S71" s="3" t="str">
        <f t="shared" si="10"/>
        <v>Q1</v>
      </c>
      <c r="T71" s="3">
        <f t="shared" si="11"/>
        <v>7</v>
      </c>
      <c r="U71" t="str">
        <f t="shared" si="12"/>
        <v>Mejorable</v>
      </c>
      <c r="V71">
        <f>VLOOKUP(G71,Datos_Empleados!B:E,4,FALSE)</f>
        <v>37</v>
      </c>
      <c r="W71">
        <f>VLOOKUP(G71,Datos_Empleados!B:I,8,FALSE)</f>
        <v>3.6</v>
      </c>
      <c r="X71">
        <f>INDEX(Datos_Productos!G:G,MATCH(F71,Datos_Productos!B:B,0))</f>
        <v>37</v>
      </c>
      <c r="Y71">
        <f t="shared" si="13"/>
        <v>6.604744901566513E-2</v>
      </c>
      <c r="Z71" t="str">
        <f t="shared" si="14"/>
        <v>No</v>
      </c>
      <c r="AA71" t="str">
        <f t="shared" si="15"/>
        <v>No</v>
      </c>
    </row>
    <row r="72" spans="1:27" x14ac:dyDescent="0.25">
      <c r="A72" t="s">
        <v>121</v>
      </c>
      <c r="B72" s="7">
        <v>45373</v>
      </c>
      <c r="C72" t="s">
        <v>44</v>
      </c>
      <c r="D72" t="s">
        <v>23</v>
      </c>
      <c r="E72" t="s">
        <v>45</v>
      </c>
      <c r="F72" t="s">
        <v>56</v>
      </c>
      <c r="G72" t="s">
        <v>67</v>
      </c>
      <c r="H72" s="3">
        <v>941</v>
      </c>
      <c r="I72" s="3">
        <v>3</v>
      </c>
      <c r="J72">
        <v>2823</v>
      </c>
      <c r="K72">
        <v>726.03</v>
      </c>
      <c r="L72">
        <v>644.91999999999996</v>
      </c>
      <c r="M72" s="3">
        <v>3.7</v>
      </c>
      <c r="N72" s="3">
        <v>6</v>
      </c>
      <c r="O72">
        <v>0</v>
      </c>
      <c r="P72" t="s">
        <v>35</v>
      </c>
      <c r="Q72" s="5">
        <f t="shared" si="8"/>
        <v>0.22845200141693234</v>
      </c>
      <c r="R72" t="str">
        <f t="shared" si="9"/>
        <v>Riesgo</v>
      </c>
      <c r="S72" s="3" t="str">
        <f t="shared" si="10"/>
        <v>Q1</v>
      </c>
      <c r="T72" s="3">
        <f t="shared" si="11"/>
        <v>6</v>
      </c>
      <c r="U72" t="str">
        <f t="shared" si="12"/>
        <v>Mejorable</v>
      </c>
      <c r="V72">
        <f>VLOOKUP(G72,Datos_Empleados!B:E,4,FALSE)</f>
        <v>15</v>
      </c>
      <c r="W72">
        <f>VLOOKUP(G72,Datos_Empleados!B:I,8,FALSE)</f>
        <v>4.7</v>
      </c>
      <c r="X72">
        <f>INDEX(Datos_Productos!G:G,MATCH(F72,Datos_Productos!B:B,0))</f>
        <v>35</v>
      </c>
      <c r="Y72">
        <f t="shared" si="13"/>
        <v>0.18950194788849903</v>
      </c>
      <c r="Z72" t="str">
        <f t="shared" si="14"/>
        <v>No</v>
      </c>
      <c r="AA72" t="str">
        <f t="shared" si="15"/>
        <v>No</v>
      </c>
    </row>
    <row r="73" spans="1:27" x14ac:dyDescent="0.25">
      <c r="A73" t="s">
        <v>122</v>
      </c>
      <c r="B73" s="7">
        <v>45328</v>
      </c>
      <c r="C73" t="s">
        <v>44</v>
      </c>
      <c r="D73" t="s">
        <v>42</v>
      </c>
      <c r="E73" t="s">
        <v>29</v>
      </c>
      <c r="F73" t="s">
        <v>37</v>
      </c>
      <c r="G73" t="s">
        <v>63</v>
      </c>
      <c r="H73" s="3">
        <v>1122</v>
      </c>
      <c r="I73" s="3">
        <v>3</v>
      </c>
      <c r="J73">
        <v>3029.4</v>
      </c>
      <c r="K73">
        <v>699.21</v>
      </c>
      <c r="L73">
        <v>1141.53</v>
      </c>
      <c r="M73" s="3">
        <v>4.5</v>
      </c>
      <c r="N73" s="3">
        <v>7</v>
      </c>
      <c r="O73">
        <v>0.1</v>
      </c>
      <c r="P73" t="s">
        <v>27</v>
      </c>
      <c r="Q73" s="5">
        <f t="shared" si="8"/>
        <v>0.37681719152307386</v>
      </c>
      <c r="R73" t="str">
        <f t="shared" si="9"/>
        <v>Estandar</v>
      </c>
      <c r="S73" s="3" t="str">
        <f t="shared" si="10"/>
        <v>Q1</v>
      </c>
      <c r="T73" s="3">
        <f t="shared" si="11"/>
        <v>3</v>
      </c>
      <c r="U73" t="str">
        <f t="shared" si="12"/>
        <v>Mejorable</v>
      </c>
      <c r="V73">
        <f>VLOOKUP(G73,Datos_Empleados!B:E,4,FALSE)</f>
        <v>10</v>
      </c>
      <c r="W73">
        <f>VLOOKUP(G73,Datos_Empleados!B:I,8,FALSE)</f>
        <v>4.4000000000000004</v>
      </c>
      <c r="X73">
        <f>INDEX(Datos_Productos!G:G,MATCH(F73,Datos_Productos!B:B,0))</f>
        <v>41</v>
      </c>
      <c r="Y73">
        <f t="shared" si="13"/>
        <v>0.33560864838937582</v>
      </c>
      <c r="Z73" t="str">
        <f t="shared" si="14"/>
        <v>No</v>
      </c>
      <c r="AA73" t="str">
        <f t="shared" si="15"/>
        <v>No</v>
      </c>
    </row>
    <row r="74" spans="1:27" x14ac:dyDescent="0.25">
      <c r="A74" t="s">
        <v>123</v>
      </c>
      <c r="B74" s="7">
        <v>45292</v>
      </c>
      <c r="C74" t="s">
        <v>44</v>
      </c>
      <c r="D74" t="s">
        <v>33</v>
      </c>
      <c r="E74" t="s">
        <v>29</v>
      </c>
      <c r="F74" t="s">
        <v>30</v>
      </c>
      <c r="G74" t="s">
        <v>38</v>
      </c>
      <c r="H74" s="3">
        <v>1310</v>
      </c>
      <c r="I74" s="3">
        <v>4</v>
      </c>
      <c r="J74">
        <v>5240</v>
      </c>
      <c r="K74">
        <v>839.33</v>
      </c>
      <c r="L74">
        <v>1882.67</v>
      </c>
      <c r="M74" s="3">
        <v>4.0999999999999996</v>
      </c>
      <c r="N74" s="3">
        <v>3</v>
      </c>
      <c r="O74">
        <v>0</v>
      </c>
      <c r="P74" t="s">
        <v>35</v>
      </c>
      <c r="Q74" s="5">
        <f t="shared" si="8"/>
        <v>0.35928816793893131</v>
      </c>
      <c r="R74" t="str">
        <f t="shared" si="9"/>
        <v>Estandar</v>
      </c>
      <c r="S74" s="3" t="str">
        <f t="shared" si="10"/>
        <v>Q1</v>
      </c>
      <c r="T74" s="3">
        <f t="shared" si="11"/>
        <v>2</v>
      </c>
      <c r="U74" t="str">
        <f t="shared" si="12"/>
        <v>Buena</v>
      </c>
      <c r="V74">
        <f>VLOOKUP(G74,Datos_Empleados!B:E,4,FALSE)</f>
        <v>32</v>
      </c>
      <c r="W74">
        <f>VLOOKUP(G74,Datos_Empleados!B:I,8,FALSE)</f>
        <v>4</v>
      </c>
      <c r="X74">
        <f>INDEX(Datos_Productos!G:G,MATCH(F74,Datos_Productos!B:B,0))</f>
        <v>41</v>
      </c>
      <c r="Y74">
        <f t="shared" si="13"/>
        <v>1.9004510521066145</v>
      </c>
      <c r="Z74" t="str">
        <f t="shared" si="14"/>
        <v>No</v>
      </c>
      <c r="AA74" t="str">
        <f t="shared" si="15"/>
        <v>No</v>
      </c>
    </row>
    <row r="75" spans="1:27" x14ac:dyDescent="0.25">
      <c r="A75" t="s">
        <v>124</v>
      </c>
      <c r="B75" s="7">
        <v>45381</v>
      </c>
      <c r="C75" t="s">
        <v>44</v>
      </c>
      <c r="D75" t="s">
        <v>23</v>
      </c>
      <c r="E75" t="s">
        <v>29</v>
      </c>
      <c r="F75" t="s">
        <v>78</v>
      </c>
      <c r="G75" t="s">
        <v>26</v>
      </c>
      <c r="H75" s="3">
        <v>962</v>
      </c>
      <c r="I75" s="3">
        <v>3</v>
      </c>
      <c r="J75">
        <v>2886</v>
      </c>
      <c r="K75">
        <v>683.45</v>
      </c>
      <c r="L75">
        <v>835.64</v>
      </c>
      <c r="M75" s="3">
        <v>3.2</v>
      </c>
      <c r="N75" s="3">
        <v>7</v>
      </c>
      <c r="O75">
        <v>0</v>
      </c>
      <c r="P75" t="s">
        <v>39</v>
      </c>
      <c r="Q75" s="5">
        <f t="shared" si="8"/>
        <v>0.28954954954954953</v>
      </c>
      <c r="R75" t="str">
        <f t="shared" si="9"/>
        <v>Riesgo</v>
      </c>
      <c r="S75" s="3" t="str">
        <f t="shared" si="10"/>
        <v>Q1</v>
      </c>
      <c r="T75" s="3">
        <f t="shared" si="11"/>
        <v>7</v>
      </c>
      <c r="U75" t="str">
        <f t="shared" si="12"/>
        <v>Mejorable</v>
      </c>
      <c r="V75">
        <f>VLOOKUP(G75,Datos_Empleados!B:E,4,FALSE)</f>
        <v>12</v>
      </c>
      <c r="W75">
        <f>VLOOKUP(G75,Datos_Empleados!B:I,8,FALSE)</f>
        <v>4.5</v>
      </c>
      <c r="X75">
        <f>INDEX(Datos_Productos!G:G,MATCH(F75,Datos_Productos!B:B,0))</f>
        <v>29</v>
      </c>
      <c r="Y75">
        <f t="shared" si="13"/>
        <v>0.23409846984370847</v>
      </c>
      <c r="Z75" t="str">
        <f t="shared" si="14"/>
        <v>No</v>
      </c>
      <c r="AA75" t="str">
        <f t="shared" si="15"/>
        <v>No</v>
      </c>
    </row>
    <row r="76" spans="1:27" x14ac:dyDescent="0.25">
      <c r="A76" t="s">
        <v>125</v>
      </c>
      <c r="B76" s="7">
        <v>45351</v>
      </c>
      <c r="C76" t="s">
        <v>22</v>
      </c>
      <c r="D76" t="s">
        <v>42</v>
      </c>
      <c r="E76" t="s">
        <v>29</v>
      </c>
      <c r="F76" t="s">
        <v>37</v>
      </c>
      <c r="G76" t="s">
        <v>71</v>
      </c>
      <c r="H76" s="3">
        <v>1321</v>
      </c>
      <c r="I76" s="3">
        <v>3</v>
      </c>
      <c r="J76">
        <v>3368.55</v>
      </c>
      <c r="K76">
        <v>1013.13</v>
      </c>
      <c r="L76">
        <v>785.06</v>
      </c>
      <c r="M76" s="3">
        <v>5</v>
      </c>
      <c r="N76" s="3">
        <v>2</v>
      </c>
      <c r="O76">
        <v>0.15</v>
      </c>
      <c r="P76" t="s">
        <v>35</v>
      </c>
      <c r="Q76" s="5">
        <f t="shared" si="8"/>
        <v>0.23305576583396415</v>
      </c>
      <c r="R76" t="str">
        <f t="shared" si="9"/>
        <v>Premium</v>
      </c>
      <c r="S76" s="3" t="str">
        <f t="shared" si="10"/>
        <v>Q1</v>
      </c>
      <c r="T76" s="3">
        <f t="shared" si="11"/>
        <v>5</v>
      </c>
      <c r="U76" t="str">
        <f t="shared" si="12"/>
        <v>Excelente</v>
      </c>
      <c r="V76">
        <f>VLOOKUP(G76,Datos_Empleados!B:E,4,FALSE)</f>
        <v>33</v>
      </c>
      <c r="W76">
        <f>VLOOKUP(G76,Datos_Empleados!B:I,8,FALSE)</f>
        <v>4.0999999999999996</v>
      </c>
      <c r="X76">
        <f>INDEX(Datos_Productos!G:G,MATCH(F76,Datos_Productos!B:B,0))</f>
        <v>41</v>
      </c>
      <c r="Y76">
        <f t="shared" si="13"/>
        <v>0.57568659158158686</v>
      </c>
      <c r="Z76" t="str">
        <f t="shared" si="14"/>
        <v>No</v>
      </c>
      <c r="AA76" t="str">
        <f t="shared" si="15"/>
        <v>No</v>
      </c>
    </row>
    <row r="77" spans="1:27" x14ac:dyDescent="0.25">
      <c r="A77" t="s">
        <v>126</v>
      </c>
      <c r="B77" s="7">
        <v>45362</v>
      </c>
      <c r="C77" t="s">
        <v>32</v>
      </c>
      <c r="D77" t="s">
        <v>33</v>
      </c>
      <c r="E77" t="s">
        <v>29</v>
      </c>
      <c r="F77" t="s">
        <v>78</v>
      </c>
      <c r="G77" t="s">
        <v>49</v>
      </c>
      <c r="H77" s="3">
        <v>871</v>
      </c>
      <c r="I77" s="3">
        <v>3</v>
      </c>
      <c r="J77">
        <v>2221.0500000000002</v>
      </c>
      <c r="K77">
        <v>581.80999999999995</v>
      </c>
      <c r="L77">
        <v>737.44</v>
      </c>
      <c r="M77" s="3">
        <v>4.5999999999999996</v>
      </c>
      <c r="N77" s="3">
        <v>3</v>
      </c>
      <c r="O77">
        <v>0.15</v>
      </c>
      <c r="P77" t="s">
        <v>39</v>
      </c>
      <c r="Q77" s="5">
        <f t="shared" si="8"/>
        <v>0.33202314220751444</v>
      </c>
      <c r="R77" t="str">
        <f t="shared" si="9"/>
        <v>Premium</v>
      </c>
      <c r="S77" s="3" t="str">
        <f t="shared" si="10"/>
        <v>Q1</v>
      </c>
      <c r="T77" s="3">
        <f t="shared" si="11"/>
        <v>2</v>
      </c>
      <c r="U77" t="str">
        <f t="shared" si="12"/>
        <v>Buena</v>
      </c>
      <c r="V77">
        <f>VLOOKUP(G77,Datos_Empleados!B:E,4,FALSE)</f>
        <v>30</v>
      </c>
      <c r="W77">
        <f>VLOOKUP(G77,Datos_Empleados!B:I,8,FALSE)</f>
        <v>4.2</v>
      </c>
      <c r="X77">
        <f>INDEX(Datos_Productos!G:G,MATCH(F77,Datos_Productos!B:B,0))</f>
        <v>29</v>
      </c>
      <c r="Y77">
        <f t="shared" si="13"/>
        <v>-0.23660720117401413</v>
      </c>
      <c r="Z77" t="str">
        <f t="shared" si="14"/>
        <v>No</v>
      </c>
      <c r="AA77" t="str">
        <f t="shared" si="15"/>
        <v>No</v>
      </c>
    </row>
    <row r="78" spans="1:27" x14ac:dyDescent="0.25">
      <c r="A78" t="s">
        <v>127</v>
      </c>
      <c r="B78" s="7">
        <v>45328</v>
      </c>
      <c r="C78" t="s">
        <v>41</v>
      </c>
      <c r="D78" t="s">
        <v>42</v>
      </c>
      <c r="E78" t="s">
        <v>24</v>
      </c>
      <c r="F78" t="s">
        <v>58</v>
      </c>
      <c r="G78" t="s">
        <v>53</v>
      </c>
      <c r="H78" s="3">
        <v>452</v>
      </c>
      <c r="I78" s="3">
        <v>4</v>
      </c>
      <c r="J78">
        <v>1536.8</v>
      </c>
      <c r="K78">
        <v>302.39999999999998</v>
      </c>
      <c r="L78">
        <v>508.64</v>
      </c>
      <c r="M78" s="3">
        <v>4.0999999999999996</v>
      </c>
      <c r="N78" s="3">
        <v>5</v>
      </c>
      <c r="O78">
        <v>0.15</v>
      </c>
      <c r="P78" t="s">
        <v>35</v>
      </c>
      <c r="Q78" s="5">
        <f t="shared" si="8"/>
        <v>0.33097345132743361</v>
      </c>
      <c r="R78" t="str">
        <f t="shared" si="9"/>
        <v>Estandar</v>
      </c>
      <c r="S78" s="3" t="str">
        <f t="shared" si="10"/>
        <v>Q1</v>
      </c>
      <c r="T78" s="3">
        <f t="shared" si="11"/>
        <v>3</v>
      </c>
      <c r="U78" t="str">
        <f t="shared" si="12"/>
        <v>Mejorable</v>
      </c>
      <c r="V78">
        <f>VLOOKUP(G78,Datos_Empleados!B:E,4,FALSE)</f>
        <v>12</v>
      </c>
      <c r="W78">
        <f>VLOOKUP(G78,Datos_Empleados!B:I,8,FALSE)</f>
        <v>4.3</v>
      </c>
      <c r="X78">
        <f>INDEX(Datos_Productos!G:G,MATCH(F78,Datos_Productos!B:B,0))</f>
        <v>37</v>
      </c>
      <c r="Y78">
        <f t="shared" si="13"/>
        <v>-0.72097498129865045</v>
      </c>
      <c r="Z78" t="str">
        <f t="shared" si="14"/>
        <v>No</v>
      </c>
      <c r="AA78" t="str">
        <f t="shared" si="15"/>
        <v>No</v>
      </c>
    </row>
    <row r="79" spans="1:27" x14ac:dyDescent="0.25">
      <c r="A79" t="s">
        <v>128</v>
      </c>
      <c r="B79" s="7">
        <v>45350</v>
      </c>
      <c r="C79" t="s">
        <v>41</v>
      </c>
      <c r="D79" t="s">
        <v>23</v>
      </c>
      <c r="E79" t="s">
        <v>24</v>
      </c>
      <c r="F79" t="s">
        <v>48</v>
      </c>
      <c r="G79" t="s">
        <v>67</v>
      </c>
      <c r="H79" s="3">
        <v>539</v>
      </c>
      <c r="I79" s="3">
        <v>4</v>
      </c>
      <c r="J79">
        <v>2156</v>
      </c>
      <c r="K79">
        <v>357.7</v>
      </c>
      <c r="L79">
        <v>725.2</v>
      </c>
      <c r="M79" s="3">
        <v>3.9</v>
      </c>
      <c r="N79" s="3">
        <v>7</v>
      </c>
      <c r="O79">
        <v>0</v>
      </c>
      <c r="P79" t="s">
        <v>35</v>
      </c>
      <c r="Q79" s="5">
        <f t="shared" si="8"/>
        <v>0.33636363636363636</v>
      </c>
      <c r="R79" t="str">
        <f t="shared" si="9"/>
        <v>Riesgo</v>
      </c>
      <c r="S79" s="3" t="str">
        <f t="shared" si="10"/>
        <v>Q1</v>
      </c>
      <c r="T79" s="3">
        <f t="shared" si="11"/>
        <v>4</v>
      </c>
      <c r="U79" t="str">
        <f t="shared" si="12"/>
        <v>Mejorable</v>
      </c>
      <c r="V79">
        <f>VLOOKUP(G79,Datos_Empleados!B:E,4,FALSE)</f>
        <v>15</v>
      </c>
      <c r="W79">
        <f>VLOOKUP(G79,Datos_Empleados!B:I,8,FALSE)</f>
        <v>4.7</v>
      </c>
      <c r="X79">
        <f>INDEX(Datos_Productos!G:G,MATCH(F79,Datos_Productos!B:B,0))</f>
        <v>38</v>
      </c>
      <c r="Y79">
        <f t="shared" si="13"/>
        <v>-0.28265487979602022</v>
      </c>
      <c r="Z79" t="str">
        <f t="shared" si="14"/>
        <v>No</v>
      </c>
      <c r="AA79" t="str">
        <f t="shared" si="15"/>
        <v>No</v>
      </c>
    </row>
    <row r="80" spans="1:27" x14ac:dyDescent="0.25">
      <c r="A80" t="s">
        <v>129</v>
      </c>
      <c r="B80" s="7">
        <v>45341</v>
      </c>
      <c r="C80" t="s">
        <v>32</v>
      </c>
      <c r="D80" t="s">
        <v>33</v>
      </c>
      <c r="E80" t="s">
        <v>29</v>
      </c>
      <c r="F80" t="s">
        <v>30</v>
      </c>
      <c r="G80" t="s">
        <v>38</v>
      </c>
      <c r="H80" s="3">
        <v>902</v>
      </c>
      <c r="I80" s="3">
        <v>4</v>
      </c>
      <c r="J80">
        <v>3608</v>
      </c>
      <c r="K80">
        <v>636.08000000000004</v>
      </c>
      <c r="L80">
        <v>1063.67</v>
      </c>
      <c r="M80" s="3">
        <v>3.9</v>
      </c>
      <c r="N80" s="3">
        <v>6</v>
      </c>
      <c r="O80">
        <v>0</v>
      </c>
      <c r="P80" t="s">
        <v>39</v>
      </c>
      <c r="Q80" s="5">
        <f t="shared" si="8"/>
        <v>0.29480875831485592</v>
      </c>
      <c r="R80" t="str">
        <f t="shared" si="9"/>
        <v>Riesgo</v>
      </c>
      <c r="S80" s="3" t="str">
        <f t="shared" si="10"/>
        <v>Q1</v>
      </c>
      <c r="T80" s="3">
        <f t="shared" si="11"/>
        <v>2</v>
      </c>
      <c r="U80" t="str">
        <f t="shared" si="12"/>
        <v>Mejorable</v>
      </c>
      <c r="V80">
        <f>VLOOKUP(G80,Datos_Empleados!B:E,4,FALSE)</f>
        <v>32</v>
      </c>
      <c r="W80">
        <f>VLOOKUP(G80,Datos_Empleados!B:I,8,FALSE)</f>
        <v>4</v>
      </c>
      <c r="X80">
        <f>INDEX(Datos_Productos!G:G,MATCH(F80,Datos_Productos!B:B,0))</f>
        <v>41</v>
      </c>
      <c r="Y80">
        <f t="shared" si="13"/>
        <v>0.7451887690764265</v>
      </c>
      <c r="Z80" t="str">
        <f t="shared" si="14"/>
        <v>No</v>
      </c>
      <c r="AA80" t="str">
        <f t="shared" si="15"/>
        <v>No</v>
      </c>
    </row>
    <row r="81" spans="1:27" x14ac:dyDescent="0.25">
      <c r="A81" t="s">
        <v>130</v>
      </c>
      <c r="B81" s="7">
        <v>45344</v>
      </c>
      <c r="C81" t="s">
        <v>32</v>
      </c>
      <c r="D81" t="s">
        <v>23</v>
      </c>
      <c r="E81" t="s">
        <v>45</v>
      </c>
      <c r="F81" t="s">
        <v>56</v>
      </c>
      <c r="G81" t="s">
        <v>38</v>
      </c>
      <c r="H81" s="3">
        <v>1007</v>
      </c>
      <c r="I81" s="3">
        <v>1</v>
      </c>
      <c r="J81">
        <v>906.3</v>
      </c>
      <c r="K81">
        <v>775.86</v>
      </c>
      <c r="L81">
        <v>208.02</v>
      </c>
      <c r="M81" s="3">
        <v>4.7</v>
      </c>
      <c r="N81" s="3">
        <v>4</v>
      </c>
      <c r="O81">
        <v>0.1</v>
      </c>
      <c r="P81" t="s">
        <v>35</v>
      </c>
      <c r="Q81" s="5">
        <f t="shared" si="8"/>
        <v>0.22952664680569351</v>
      </c>
      <c r="R81" t="str">
        <f t="shared" si="9"/>
        <v>Premium</v>
      </c>
      <c r="S81" s="3" t="str">
        <f t="shared" si="10"/>
        <v>Q1</v>
      </c>
      <c r="T81" s="3">
        <f t="shared" si="11"/>
        <v>5</v>
      </c>
      <c r="U81" t="str">
        <f t="shared" si="12"/>
        <v>Buena</v>
      </c>
      <c r="V81">
        <f>VLOOKUP(G81,Datos_Empleados!B:E,4,FALSE)</f>
        <v>32</v>
      </c>
      <c r="W81">
        <f>VLOOKUP(G81,Datos_Empleados!B:I,8,FALSE)</f>
        <v>4</v>
      </c>
      <c r="X81">
        <f>INDEX(Datos_Productos!G:G,MATCH(F81,Datos_Productos!B:B,0))</f>
        <v>35</v>
      </c>
      <c r="Y81">
        <f t="shared" si="13"/>
        <v>-1.1672941415011833</v>
      </c>
      <c r="Z81" t="str">
        <f t="shared" si="14"/>
        <v>No</v>
      </c>
      <c r="AA81" t="str">
        <f t="shared" si="15"/>
        <v>No</v>
      </c>
    </row>
    <row r="82" spans="1:27" x14ac:dyDescent="0.25">
      <c r="A82" t="s">
        <v>131</v>
      </c>
      <c r="B82" s="7">
        <v>45372</v>
      </c>
      <c r="C82" t="s">
        <v>44</v>
      </c>
      <c r="D82" t="s">
        <v>42</v>
      </c>
      <c r="E82" t="s">
        <v>29</v>
      </c>
      <c r="F82" t="s">
        <v>78</v>
      </c>
      <c r="G82" t="s">
        <v>63</v>
      </c>
      <c r="H82" s="3">
        <v>1040</v>
      </c>
      <c r="I82" s="3">
        <v>3</v>
      </c>
      <c r="J82">
        <v>2964</v>
      </c>
      <c r="K82">
        <v>779.33</v>
      </c>
      <c r="L82">
        <v>742.92</v>
      </c>
      <c r="M82" s="3">
        <v>3.9</v>
      </c>
      <c r="N82" s="3">
        <v>1</v>
      </c>
      <c r="O82">
        <v>0.05</v>
      </c>
      <c r="P82" t="s">
        <v>27</v>
      </c>
      <c r="Q82" s="5">
        <f t="shared" si="8"/>
        <v>0.25064777327935223</v>
      </c>
      <c r="R82" t="str">
        <f t="shared" si="9"/>
        <v>Riesgo</v>
      </c>
      <c r="S82" s="3" t="str">
        <f t="shared" si="10"/>
        <v>Q1</v>
      </c>
      <c r="T82" s="3">
        <f t="shared" si="11"/>
        <v>5</v>
      </c>
      <c r="U82" t="str">
        <f t="shared" si="12"/>
        <v>Excelente</v>
      </c>
      <c r="V82">
        <f>VLOOKUP(G82,Datos_Empleados!B:E,4,FALSE)</f>
        <v>10</v>
      </c>
      <c r="W82">
        <f>VLOOKUP(G82,Datos_Empleados!B:I,8,FALSE)</f>
        <v>4.4000000000000004</v>
      </c>
      <c r="X82">
        <f>INDEX(Datos_Productos!G:G,MATCH(F82,Datos_Productos!B:B,0))</f>
        <v>29</v>
      </c>
      <c r="Y82">
        <f t="shared" si="13"/>
        <v>0.28931321131206306</v>
      </c>
      <c r="Z82" t="str">
        <f t="shared" si="14"/>
        <v>No</v>
      </c>
      <c r="AA82" t="str">
        <f t="shared" si="15"/>
        <v>No</v>
      </c>
    </row>
    <row r="83" spans="1:27" x14ac:dyDescent="0.25">
      <c r="A83" t="s">
        <v>132</v>
      </c>
      <c r="B83" s="7">
        <v>45304</v>
      </c>
      <c r="C83" t="s">
        <v>44</v>
      </c>
      <c r="D83" t="s">
        <v>23</v>
      </c>
      <c r="E83" t="s">
        <v>24</v>
      </c>
      <c r="F83" t="s">
        <v>25</v>
      </c>
      <c r="G83" t="s">
        <v>34</v>
      </c>
      <c r="H83" s="3">
        <v>347</v>
      </c>
      <c r="I83" s="3">
        <v>3</v>
      </c>
      <c r="J83">
        <v>1041</v>
      </c>
      <c r="K83">
        <v>228.56</v>
      </c>
      <c r="L83">
        <v>355.32</v>
      </c>
      <c r="M83" s="3">
        <v>3.7</v>
      </c>
      <c r="N83" s="3">
        <v>2</v>
      </c>
      <c r="O83">
        <v>0</v>
      </c>
      <c r="P83" t="s">
        <v>39</v>
      </c>
      <c r="Q83" s="5">
        <f t="shared" si="8"/>
        <v>0.34132564841498558</v>
      </c>
      <c r="R83" t="str">
        <f t="shared" si="9"/>
        <v>Riesgo</v>
      </c>
      <c r="S83" s="3" t="str">
        <f t="shared" si="10"/>
        <v>Q1</v>
      </c>
      <c r="T83" s="3">
        <f t="shared" si="11"/>
        <v>7</v>
      </c>
      <c r="U83" t="str">
        <f t="shared" si="12"/>
        <v>Excelente</v>
      </c>
      <c r="V83">
        <f>VLOOKUP(G83,Datos_Empleados!B:E,4,FALSE)</f>
        <v>37</v>
      </c>
      <c r="W83">
        <f>VLOOKUP(G83,Datos_Empleados!B:I,8,FALSE)</f>
        <v>3.6</v>
      </c>
      <c r="X83">
        <f>INDEX(Datos_Productos!G:G,MATCH(F83,Datos_Productos!B:B,0))</f>
        <v>44</v>
      </c>
      <c r="Y83">
        <f t="shared" si="13"/>
        <v>-1.07194253027314</v>
      </c>
      <c r="Z83" t="str">
        <f t="shared" si="14"/>
        <v>No</v>
      </c>
      <c r="AA83" t="str">
        <f t="shared" si="15"/>
        <v>No</v>
      </c>
    </row>
    <row r="84" spans="1:27" x14ac:dyDescent="0.25">
      <c r="A84" t="s">
        <v>133</v>
      </c>
      <c r="B84" s="7">
        <v>45359</v>
      </c>
      <c r="C84" t="s">
        <v>44</v>
      </c>
      <c r="D84" t="s">
        <v>42</v>
      </c>
      <c r="E84" t="s">
        <v>24</v>
      </c>
      <c r="F84" t="s">
        <v>48</v>
      </c>
      <c r="G84" t="s">
        <v>49</v>
      </c>
      <c r="H84" s="3">
        <v>479</v>
      </c>
      <c r="I84" s="3">
        <v>1</v>
      </c>
      <c r="J84">
        <v>407.15</v>
      </c>
      <c r="K84">
        <v>346.77</v>
      </c>
      <c r="L84">
        <v>112.4</v>
      </c>
      <c r="M84" s="3">
        <v>3.5</v>
      </c>
      <c r="N84" s="3">
        <v>5</v>
      </c>
      <c r="O84">
        <v>0.15</v>
      </c>
      <c r="P84" t="s">
        <v>39</v>
      </c>
      <c r="Q84" s="5">
        <f t="shared" si="8"/>
        <v>0.27606533218715462</v>
      </c>
      <c r="R84" t="str">
        <f t="shared" si="9"/>
        <v>Riesgo</v>
      </c>
      <c r="S84" s="3" t="str">
        <f t="shared" si="10"/>
        <v>Q1</v>
      </c>
      <c r="T84" s="3">
        <f t="shared" si="11"/>
        <v>6</v>
      </c>
      <c r="U84" t="str">
        <f t="shared" si="12"/>
        <v>Mejorable</v>
      </c>
      <c r="V84">
        <f>VLOOKUP(G84,Datos_Empleados!B:E,4,FALSE)</f>
        <v>30</v>
      </c>
      <c r="W84">
        <f>VLOOKUP(G84,Datos_Empleados!B:I,8,FALSE)</f>
        <v>4.2</v>
      </c>
      <c r="X84">
        <f>INDEX(Datos_Productos!G:G,MATCH(F84,Datos_Productos!B:B,0))</f>
        <v>38</v>
      </c>
      <c r="Y84">
        <f t="shared" si="13"/>
        <v>-1.5206330928336087</v>
      </c>
      <c r="Z84" t="str">
        <f t="shared" si="14"/>
        <v>No</v>
      </c>
      <c r="AA84" t="str">
        <f t="shared" si="15"/>
        <v>No</v>
      </c>
    </row>
    <row r="85" spans="1:27" x14ac:dyDescent="0.25">
      <c r="A85" t="s">
        <v>134</v>
      </c>
      <c r="B85" s="7">
        <v>45321</v>
      </c>
      <c r="C85" t="s">
        <v>44</v>
      </c>
      <c r="D85" t="s">
        <v>42</v>
      </c>
      <c r="E85" t="s">
        <v>45</v>
      </c>
      <c r="F85" t="s">
        <v>56</v>
      </c>
      <c r="G85" t="s">
        <v>71</v>
      </c>
      <c r="H85" s="3">
        <v>609</v>
      </c>
      <c r="I85" s="3">
        <v>4</v>
      </c>
      <c r="J85">
        <v>2192.4</v>
      </c>
      <c r="K85">
        <v>447.93</v>
      </c>
      <c r="L85">
        <v>579.84</v>
      </c>
      <c r="M85" s="3">
        <v>3.3</v>
      </c>
      <c r="N85" s="3">
        <v>4</v>
      </c>
      <c r="O85">
        <v>0.1</v>
      </c>
      <c r="P85" t="s">
        <v>35</v>
      </c>
      <c r="Q85" s="5">
        <f t="shared" si="8"/>
        <v>0.26447728516694036</v>
      </c>
      <c r="R85" t="str">
        <f t="shared" si="9"/>
        <v>Riesgo</v>
      </c>
      <c r="S85" s="3" t="str">
        <f t="shared" si="10"/>
        <v>Q1</v>
      </c>
      <c r="T85" s="3">
        <f t="shared" si="11"/>
        <v>3</v>
      </c>
      <c r="U85" t="str">
        <f t="shared" si="12"/>
        <v>Buena</v>
      </c>
      <c r="V85">
        <f>VLOOKUP(G85,Datos_Empleados!B:E,4,FALSE)</f>
        <v>33</v>
      </c>
      <c r="W85">
        <f>VLOOKUP(G85,Datos_Empleados!B:I,8,FALSE)</f>
        <v>4.0999999999999996</v>
      </c>
      <c r="X85">
        <f>INDEX(Datos_Productos!G:G,MATCH(F85,Datos_Productos!B:B,0))</f>
        <v>35</v>
      </c>
      <c r="Y85">
        <f t="shared" si="13"/>
        <v>-0.25688800044412136</v>
      </c>
      <c r="Z85" t="str">
        <f t="shared" si="14"/>
        <v>No</v>
      </c>
      <c r="AA85" t="str">
        <f t="shared" si="15"/>
        <v>No</v>
      </c>
    </row>
    <row r="86" spans="1:27" x14ac:dyDescent="0.25">
      <c r="A86" t="s">
        <v>135</v>
      </c>
      <c r="B86" s="7">
        <v>45367</v>
      </c>
      <c r="C86" t="s">
        <v>41</v>
      </c>
      <c r="D86" t="s">
        <v>42</v>
      </c>
      <c r="E86" t="s">
        <v>45</v>
      </c>
      <c r="F86" t="s">
        <v>46</v>
      </c>
      <c r="G86" t="s">
        <v>71</v>
      </c>
      <c r="H86" s="3">
        <v>1067</v>
      </c>
      <c r="I86" s="3">
        <v>3</v>
      </c>
      <c r="J86">
        <v>3040.95</v>
      </c>
      <c r="K86">
        <v>853.47</v>
      </c>
      <c r="L86">
        <v>608.57000000000005</v>
      </c>
      <c r="M86" s="3">
        <v>4.7</v>
      </c>
      <c r="N86" s="3">
        <v>1</v>
      </c>
      <c r="O86">
        <v>0.05</v>
      </c>
      <c r="P86" t="s">
        <v>39</v>
      </c>
      <c r="Q86" s="5">
        <f t="shared" si="8"/>
        <v>0.20012496094970325</v>
      </c>
      <c r="R86" t="str">
        <f t="shared" si="9"/>
        <v>Premium</v>
      </c>
      <c r="S86" s="3" t="str">
        <f t="shared" si="10"/>
        <v>Q1</v>
      </c>
      <c r="T86" s="3">
        <f t="shared" si="11"/>
        <v>7</v>
      </c>
      <c r="U86" t="str">
        <f t="shared" si="12"/>
        <v>Excelente</v>
      </c>
      <c r="V86">
        <f>VLOOKUP(G86,Datos_Empleados!B:E,4,FALSE)</f>
        <v>33</v>
      </c>
      <c r="W86">
        <f>VLOOKUP(G86,Datos_Empleados!B:I,8,FALSE)</f>
        <v>4.0999999999999996</v>
      </c>
      <c r="X86">
        <f>INDEX(Datos_Productos!G:G,MATCH(F86,Datos_Productos!B:B,0))</f>
        <v>37</v>
      </c>
      <c r="Y86">
        <f t="shared" si="13"/>
        <v>0.34378467741449736</v>
      </c>
      <c r="Z86" t="str">
        <f t="shared" si="14"/>
        <v>No</v>
      </c>
      <c r="AA86" t="str">
        <f t="shared" si="15"/>
        <v>No</v>
      </c>
    </row>
    <row r="87" spans="1:27" x14ac:dyDescent="0.25">
      <c r="A87" t="s">
        <v>136</v>
      </c>
      <c r="B87" s="7">
        <v>45340</v>
      </c>
      <c r="C87" t="s">
        <v>41</v>
      </c>
      <c r="D87" t="s">
        <v>42</v>
      </c>
      <c r="E87" t="s">
        <v>45</v>
      </c>
      <c r="F87" t="s">
        <v>46</v>
      </c>
      <c r="G87" t="s">
        <v>71</v>
      </c>
      <c r="H87" s="3">
        <v>622</v>
      </c>
      <c r="I87" s="3">
        <v>4</v>
      </c>
      <c r="J87">
        <v>2239.1999999999998</v>
      </c>
      <c r="K87">
        <v>374.21</v>
      </c>
      <c r="L87">
        <v>892.05</v>
      </c>
      <c r="M87" s="3">
        <v>4.7</v>
      </c>
      <c r="N87" s="3">
        <v>7</v>
      </c>
      <c r="O87">
        <v>0.1</v>
      </c>
      <c r="P87" t="s">
        <v>27</v>
      </c>
      <c r="Q87" s="5">
        <f t="shared" si="8"/>
        <v>0.39837888531618437</v>
      </c>
      <c r="R87" t="str">
        <f t="shared" si="9"/>
        <v>Premium</v>
      </c>
      <c r="S87" s="3" t="str">
        <f t="shared" si="10"/>
        <v>Q1</v>
      </c>
      <c r="T87" s="3">
        <f t="shared" si="11"/>
        <v>1</v>
      </c>
      <c r="U87" t="str">
        <f t="shared" si="12"/>
        <v>Mejorable</v>
      </c>
      <c r="V87">
        <f>VLOOKUP(G87,Datos_Empleados!B:E,4,FALSE)</f>
        <v>33</v>
      </c>
      <c r="W87">
        <f>VLOOKUP(G87,Datos_Empleados!B:I,8,FALSE)</f>
        <v>4.0999999999999996</v>
      </c>
      <c r="X87">
        <f>INDEX(Datos_Productos!G:G,MATCH(F87,Datos_Productos!B:B,0))</f>
        <v>37</v>
      </c>
      <c r="Y87">
        <f t="shared" si="13"/>
        <v>-0.22375915556310882</v>
      </c>
      <c r="Z87" t="str">
        <f t="shared" si="14"/>
        <v>No</v>
      </c>
      <c r="AA87" t="str">
        <f t="shared" si="15"/>
        <v>No</v>
      </c>
    </row>
    <row r="88" spans="1:27" x14ac:dyDescent="0.25">
      <c r="A88" t="s">
        <v>137</v>
      </c>
      <c r="B88" s="7">
        <v>45298</v>
      </c>
      <c r="C88" t="s">
        <v>44</v>
      </c>
      <c r="D88" t="s">
        <v>33</v>
      </c>
      <c r="E88" t="s">
        <v>29</v>
      </c>
      <c r="F88" t="s">
        <v>78</v>
      </c>
      <c r="G88" t="s">
        <v>38</v>
      </c>
      <c r="H88" s="3">
        <v>1024</v>
      </c>
      <c r="I88" s="3">
        <v>2</v>
      </c>
      <c r="J88">
        <v>1843.2</v>
      </c>
      <c r="K88">
        <v>753.21</v>
      </c>
      <c r="L88">
        <v>487.43</v>
      </c>
      <c r="M88" s="3">
        <v>4.4000000000000004</v>
      </c>
      <c r="N88" s="3">
        <v>6</v>
      </c>
      <c r="O88">
        <v>0.1</v>
      </c>
      <c r="P88" t="s">
        <v>27</v>
      </c>
      <c r="Q88" s="5">
        <f t="shared" si="8"/>
        <v>0.26444769965277776</v>
      </c>
      <c r="R88" t="str">
        <f t="shared" si="9"/>
        <v>Estandar</v>
      </c>
      <c r="S88" s="3" t="str">
        <f t="shared" si="10"/>
        <v>Q1</v>
      </c>
      <c r="T88" s="3">
        <f t="shared" si="11"/>
        <v>1</v>
      </c>
      <c r="U88" t="str">
        <f t="shared" si="12"/>
        <v>Mejorable</v>
      </c>
      <c r="V88">
        <f>VLOOKUP(G88,Datos_Empleados!B:E,4,FALSE)</f>
        <v>32</v>
      </c>
      <c r="W88">
        <f>VLOOKUP(G88,Datos_Empleados!B:I,8,FALSE)</f>
        <v>4</v>
      </c>
      <c r="X88">
        <f>INDEX(Datos_Productos!G:G,MATCH(F88,Datos_Productos!B:B,0))</f>
        <v>29</v>
      </c>
      <c r="Y88">
        <f t="shared" si="13"/>
        <v>-0.50408015071013956</v>
      </c>
      <c r="Z88" t="str">
        <f t="shared" si="14"/>
        <v>No</v>
      </c>
      <c r="AA88" t="str">
        <f t="shared" si="15"/>
        <v>No</v>
      </c>
    </row>
    <row r="89" spans="1:27" x14ac:dyDescent="0.25">
      <c r="A89" t="s">
        <v>138</v>
      </c>
      <c r="B89" s="7">
        <v>45309</v>
      </c>
      <c r="C89" t="s">
        <v>22</v>
      </c>
      <c r="D89" t="s">
        <v>42</v>
      </c>
      <c r="E89" t="s">
        <v>24</v>
      </c>
      <c r="F89" t="s">
        <v>48</v>
      </c>
      <c r="G89" t="s">
        <v>71</v>
      </c>
      <c r="H89" s="3">
        <v>751</v>
      </c>
      <c r="I89" s="3">
        <v>1</v>
      </c>
      <c r="J89">
        <v>675.9</v>
      </c>
      <c r="K89">
        <v>560.6</v>
      </c>
      <c r="L89">
        <v>171.36</v>
      </c>
      <c r="M89" s="3">
        <v>3.2</v>
      </c>
      <c r="N89" s="3">
        <v>3</v>
      </c>
      <c r="O89">
        <v>0.1</v>
      </c>
      <c r="P89" t="s">
        <v>35</v>
      </c>
      <c r="Q89" s="5">
        <f t="shared" si="8"/>
        <v>0.25352862849533958</v>
      </c>
      <c r="R89" t="str">
        <f t="shared" si="9"/>
        <v>Riesgo</v>
      </c>
      <c r="S89" s="3" t="str">
        <f t="shared" si="10"/>
        <v>Q1</v>
      </c>
      <c r="T89" s="3">
        <f t="shared" si="11"/>
        <v>5</v>
      </c>
      <c r="U89" t="str">
        <f t="shared" si="12"/>
        <v>Buena</v>
      </c>
      <c r="V89">
        <f>VLOOKUP(G89,Datos_Empleados!B:E,4,FALSE)</f>
        <v>33</v>
      </c>
      <c r="W89">
        <f>VLOOKUP(G89,Datos_Empleados!B:I,8,FALSE)</f>
        <v>4.0999999999999996</v>
      </c>
      <c r="X89">
        <f>INDEX(Datos_Productos!G:G,MATCH(F89,Datos_Productos!B:B,0))</f>
        <v>38</v>
      </c>
      <c r="Y89">
        <f t="shared" si="13"/>
        <v>-1.330389993223092</v>
      </c>
      <c r="Z89" t="str">
        <f t="shared" si="14"/>
        <v>No</v>
      </c>
      <c r="AA89" t="str">
        <f t="shared" si="15"/>
        <v>No</v>
      </c>
    </row>
    <row r="90" spans="1:27" x14ac:dyDescent="0.25">
      <c r="A90" t="s">
        <v>139</v>
      </c>
      <c r="B90" s="7">
        <v>45345</v>
      </c>
      <c r="C90" t="s">
        <v>32</v>
      </c>
      <c r="D90" t="s">
        <v>23</v>
      </c>
      <c r="E90" t="s">
        <v>29</v>
      </c>
      <c r="F90" t="s">
        <v>78</v>
      </c>
      <c r="G90" t="s">
        <v>38</v>
      </c>
      <c r="H90" s="3">
        <v>1343</v>
      </c>
      <c r="I90" s="3">
        <v>5</v>
      </c>
      <c r="J90">
        <v>6043.5</v>
      </c>
      <c r="K90">
        <v>1028.8599999999999</v>
      </c>
      <c r="L90">
        <v>1413.61</v>
      </c>
      <c r="M90" s="3">
        <v>3.5</v>
      </c>
      <c r="N90" s="3">
        <v>7</v>
      </c>
      <c r="O90">
        <v>0.1</v>
      </c>
      <c r="P90" t="s">
        <v>35</v>
      </c>
      <c r="Q90" s="5">
        <f t="shared" si="8"/>
        <v>0.23390584925953503</v>
      </c>
      <c r="R90" t="str">
        <f t="shared" si="9"/>
        <v>Riesgo</v>
      </c>
      <c r="S90" s="3" t="str">
        <f t="shared" si="10"/>
        <v>Q1</v>
      </c>
      <c r="T90" s="3">
        <f t="shared" si="11"/>
        <v>6</v>
      </c>
      <c r="U90" t="str">
        <f t="shared" si="12"/>
        <v>Mejorable</v>
      </c>
      <c r="V90">
        <f>VLOOKUP(G90,Datos_Empleados!B:E,4,FALSE)</f>
        <v>32</v>
      </c>
      <c r="W90">
        <f>VLOOKUP(G90,Datos_Empleados!B:I,8,FALSE)</f>
        <v>4</v>
      </c>
      <c r="X90">
        <f>INDEX(Datos_Productos!G:G,MATCH(F90,Datos_Productos!B:B,0))</f>
        <v>29</v>
      </c>
      <c r="Y90">
        <f t="shared" si="13"/>
        <v>2.4692336773607542</v>
      </c>
      <c r="Z90" t="str">
        <f t="shared" si="14"/>
        <v>No</v>
      </c>
      <c r="AA90" t="str">
        <f t="shared" si="15"/>
        <v>No</v>
      </c>
    </row>
    <row r="91" spans="1:27" x14ac:dyDescent="0.25">
      <c r="A91" t="s">
        <v>140</v>
      </c>
      <c r="B91" s="7">
        <v>45329</v>
      </c>
      <c r="C91" t="s">
        <v>41</v>
      </c>
      <c r="D91" t="s">
        <v>23</v>
      </c>
      <c r="E91" t="s">
        <v>45</v>
      </c>
      <c r="F91" t="s">
        <v>65</v>
      </c>
      <c r="G91" t="s">
        <v>49</v>
      </c>
      <c r="H91" s="3">
        <v>831</v>
      </c>
      <c r="I91" s="3">
        <v>4</v>
      </c>
      <c r="J91">
        <v>2991.6</v>
      </c>
      <c r="K91">
        <v>513.61</v>
      </c>
      <c r="L91">
        <v>1142.6099999999999</v>
      </c>
      <c r="M91" s="3">
        <v>3.8</v>
      </c>
      <c r="N91" s="3">
        <v>3</v>
      </c>
      <c r="O91">
        <v>0.1</v>
      </c>
      <c r="P91" t="s">
        <v>27</v>
      </c>
      <c r="Q91" s="5">
        <f t="shared" si="8"/>
        <v>0.38193943040513434</v>
      </c>
      <c r="R91" t="str">
        <f t="shared" si="9"/>
        <v>Riesgo</v>
      </c>
      <c r="S91" s="3" t="str">
        <f t="shared" si="10"/>
        <v>Q1</v>
      </c>
      <c r="T91" s="3">
        <f t="shared" si="11"/>
        <v>4</v>
      </c>
      <c r="U91" t="str">
        <f t="shared" si="12"/>
        <v>Buena</v>
      </c>
      <c r="V91">
        <f>VLOOKUP(G91,Datos_Empleados!B:E,4,FALSE)</f>
        <v>30</v>
      </c>
      <c r="W91">
        <f>VLOOKUP(G91,Datos_Empleados!B:I,8,FALSE)</f>
        <v>4.2</v>
      </c>
      <c r="X91">
        <f>INDEX(Datos_Productos!G:G,MATCH(F91,Datos_Productos!B:B,0))</f>
        <v>38</v>
      </c>
      <c r="Y91">
        <f t="shared" si="13"/>
        <v>0.30885073521625001</v>
      </c>
      <c r="Z91" t="str">
        <f t="shared" si="14"/>
        <v>No</v>
      </c>
      <c r="AA91" t="str">
        <f t="shared" si="15"/>
        <v>No</v>
      </c>
    </row>
    <row r="92" spans="1:27" x14ac:dyDescent="0.25">
      <c r="A92" t="s">
        <v>141</v>
      </c>
      <c r="B92" s="7">
        <v>45307</v>
      </c>
      <c r="C92" t="s">
        <v>44</v>
      </c>
      <c r="D92" t="s">
        <v>33</v>
      </c>
      <c r="E92" t="s">
        <v>24</v>
      </c>
      <c r="F92" t="s">
        <v>58</v>
      </c>
      <c r="G92" t="s">
        <v>71</v>
      </c>
      <c r="H92" s="3">
        <v>898</v>
      </c>
      <c r="I92" s="3">
        <v>4</v>
      </c>
      <c r="J92">
        <v>3232.8</v>
      </c>
      <c r="K92">
        <v>558.26</v>
      </c>
      <c r="L92">
        <v>1223.07</v>
      </c>
      <c r="M92" s="3">
        <v>3.5</v>
      </c>
      <c r="N92" s="3">
        <v>1</v>
      </c>
      <c r="O92">
        <v>0.1</v>
      </c>
      <c r="P92" t="s">
        <v>27</v>
      </c>
      <c r="Q92" s="5">
        <f t="shared" si="8"/>
        <v>0.37833147735708977</v>
      </c>
      <c r="R92" t="str">
        <f t="shared" si="9"/>
        <v>Riesgo</v>
      </c>
      <c r="S92" s="3" t="str">
        <f t="shared" si="10"/>
        <v>Q1</v>
      </c>
      <c r="T92" s="3">
        <f t="shared" si="11"/>
        <v>3</v>
      </c>
      <c r="U92" t="str">
        <f t="shared" si="12"/>
        <v>Excelente</v>
      </c>
      <c r="V92">
        <f>VLOOKUP(G92,Datos_Empleados!B:E,4,FALSE)</f>
        <v>33</v>
      </c>
      <c r="W92">
        <f>VLOOKUP(G92,Datos_Empleados!B:I,8,FALSE)</f>
        <v>4.0999999999999996</v>
      </c>
      <c r="X92">
        <f>INDEX(Datos_Productos!G:G,MATCH(F92,Datos_Productos!B:B,0))</f>
        <v>37</v>
      </c>
      <c r="Y92">
        <f t="shared" si="13"/>
        <v>0.47959170498762355</v>
      </c>
      <c r="Z92" t="str">
        <f t="shared" si="14"/>
        <v>No</v>
      </c>
      <c r="AA92" t="str">
        <f t="shared" si="15"/>
        <v>No</v>
      </c>
    </row>
    <row r="93" spans="1:27" x14ac:dyDescent="0.25">
      <c r="A93" t="s">
        <v>142</v>
      </c>
      <c r="B93" s="7">
        <v>45363</v>
      </c>
      <c r="C93" t="s">
        <v>41</v>
      </c>
      <c r="D93" t="s">
        <v>42</v>
      </c>
      <c r="E93" t="s">
        <v>29</v>
      </c>
      <c r="F93" t="s">
        <v>78</v>
      </c>
      <c r="G93" t="s">
        <v>63</v>
      </c>
      <c r="H93" s="3">
        <v>1275</v>
      </c>
      <c r="I93" s="3">
        <v>3</v>
      </c>
      <c r="J93">
        <v>3251.25</v>
      </c>
      <c r="K93">
        <v>794.75</v>
      </c>
      <c r="L93">
        <v>1224.6300000000001</v>
      </c>
      <c r="M93" s="3">
        <v>3.1</v>
      </c>
      <c r="N93" s="3">
        <v>1</v>
      </c>
      <c r="O93">
        <v>0.15</v>
      </c>
      <c r="P93" t="s">
        <v>35</v>
      </c>
      <c r="Q93" s="5">
        <f t="shared" si="8"/>
        <v>0.37666435986159175</v>
      </c>
      <c r="R93" t="str">
        <f t="shared" si="9"/>
        <v>Riesgo</v>
      </c>
      <c r="S93" s="3" t="str">
        <f t="shared" si="10"/>
        <v>Q1</v>
      </c>
      <c r="T93" s="3">
        <f t="shared" si="11"/>
        <v>3</v>
      </c>
      <c r="U93" t="str">
        <f t="shared" si="12"/>
        <v>Excelente</v>
      </c>
      <c r="V93">
        <f>VLOOKUP(G93,Datos_Empleados!B:E,4,FALSE)</f>
        <v>10</v>
      </c>
      <c r="W93">
        <f>VLOOKUP(G93,Datos_Empleados!B:I,8,FALSE)</f>
        <v>4.4000000000000004</v>
      </c>
      <c r="X93">
        <f>INDEX(Datos_Productos!G:G,MATCH(F93,Datos_Productos!B:B,0))</f>
        <v>29</v>
      </c>
      <c r="Y93">
        <f t="shared" si="13"/>
        <v>0.49265211498879191</v>
      </c>
      <c r="Z93" t="str">
        <f t="shared" si="14"/>
        <v>No</v>
      </c>
      <c r="AA93" t="str">
        <f t="shared" si="15"/>
        <v>No</v>
      </c>
    </row>
    <row r="94" spans="1:27" x14ac:dyDescent="0.25">
      <c r="A94" t="s">
        <v>143</v>
      </c>
      <c r="B94" s="7">
        <v>45355</v>
      </c>
      <c r="C94" t="s">
        <v>22</v>
      </c>
      <c r="D94" t="s">
        <v>23</v>
      </c>
      <c r="E94" t="s">
        <v>29</v>
      </c>
      <c r="F94" t="s">
        <v>78</v>
      </c>
      <c r="G94" t="s">
        <v>49</v>
      </c>
      <c r="H94" s="3">
        <v>1197</v>
      </c>
      <c r="I94" s="3">
        <v>4</v>
      </c>
      <c r="J94">
        <v>4309.2</v>
      </c>
      <c r="K94">
        <v>878.71</v>
      </c>
      <c r="L94">
        <v>1145.83</v>
      </c>
      <c r="M94" s="3">
        <v>4.5</v>
      </c>
      <c r="N94" s="3">
        <v>5</v>
      </c>
      <c r="O94">
        <v>0.1</v>
      </c>
      <c r="P94" t="s">
        <v>35</v>
      </c>
      <c r="Q94" s="5">
        <f t="shared" si="8"/>
        <v>0.26590318388563999</v>
      </c>
      <c r="R94" t="str">
        <f t="shared" si="9"/>
        <v>Estandar</v>
      </c>
      <c r="S94" s="3" t="str">
        <f t="shared" si="10"/>
        <v>Q1</v>
      </c>
      <c r="T94" s="3">
        <f t="shared" si="11"/>
        <v>2</v>
      </c>
      <c r="U94" t="str">
        <f t="shared" si="12"/>
        <v>Mejorable</v>
      </c>
      <c r="V94">
        <f>VLOOKUP(G94,Datos_Empleados!B:E,4,FALSE)</f>
        <v>30</v>
      </c>
      <c r="W94">
        <f>VLOOKUP(G94,Datos_Empleados!B:I,8,FALSE)</f>
        <v>4.2</v>
      </c>
      <c r="X94">
        <f>INDEX(Datos_Productos!G:G,MATCH(F94,Datos_Productos!B:B,0))</f>
        <v>29</v>
      </c>
      <c r="Y94">
        <f t="shared" si="13"/>
        <v>1.2415551372509164</v>
      </c>
      <c r="Z94" t="str">
        <f t="shared" si="14"/>
        <v>No</v>
      </c>
      <c r="AA94" t="str">
        <f t="shared" si="15"/>
        <v>No</v>
      </c>
    </row>
    <row r="95" spans="1:27" x14ac:dyDescent="0.25">
      <c r="A95" t="s">
        <v>144</v>
      </c>
      <c r="B95" s="7">
        <v>45367</v>
      </c>
      <c r="C95" t="s">
        <v>32</v>
      </c>
      <c r="D95" t="s">
        <v>33</v>
      </c>
      <c r="E95" t="s">
        <v>24</v>
      </c>
      <c r="F95" t="s">
        <v>48</v>
      </c>
      <c r="G95" t="s">
        <v>53</v>
      </c>
      <c r="H95" s="3">
        <v>717</v>
      </c>
      <c r="I95" s="3">
        <v>3</v>
      </c>
      <c r="J95">
        <v>2151</v>
      </c>
      <c r="K95">
        <v>529.19000000000005</v>
      </c>
      <c r="L95">
        <v>563.44000000000005</v>
      </c>
      <c r="M95" s="3">
        <v>3.4</v>
      </c>
      <c r="N95" s="3">
        <v>4</v>
      </c>
      <c r="O95">
        <v>0</v>
      </c>
      <c r="P95" t="s">
        <v>39</v>
      </c>
      <c r="Q95" s="5">
        <f t="shared" si="8"/>
        <v>0.26194328219432822</v>
      </c>
      <c r="R95" t="str">
        <f t="shared" si="9"/>
        <v>Riesgo</v>
      </c>
      <c r="S95" s="3" t="str">
        <f t="shared" si="10"/>
        <v>Q1</v>
      </c>
      <c r="T95" s="3">
        <f t="shared" si="11"/>
        <v>7</v>
      </c>
      <c r="U95" t="str">
        <f t="shared" si="12"/>
        <v>Buena</v>
      </c>
      <c r="V95">
        <f>VLOOKUP(G95,Datos_Empleados!B:E,4,FALSE)</f>
        <v>12</v>
      </c>
      <c r="W95">
        <f>VLOOKUP(G95,Datos_Empleados!B:I,8,FALSE)</f>
        <v>4.3</v>
      </c>
      <c r="X95">
        <f>INDEX(Datos_Productos!G:G,MATCH(F95,Datos_Productos!B:B,0))</f>
        <v>38</v>
      </c>
      <c r="Y95">
        <f t="shared" si="13"/>
        <v>-0.28619428630040195</v>
      </c>
      <c r="Z95" t="str">
        <f t="shared" si="14"/>
        <v>No</v>
      </c>
      <c r="AA95" t="str">
        <f t="shared" si="15"/>
        <v>No</v>
      </c>
    </row>
    <row r="96" spans="1:27" x14ac:dyDescent="0.25">
      <c r="A96" t="s">
        <v>145</v>
      </c>
      <c r="B96" s="7">
        <v>45338</v>
      </c>
      <c r="C96" t="s">
        <v>22</v>
      </c>
      <c r="D96" t="s">
        <v>42</v>
      </c>
      <c r="E96" t="s">
        <v>45</v>
      </c>
      <c r="F96" t="s">
        <v>46</v>
      </c>
      <c r="G96" t="s">
        <v>38</v>
      </c>
      <c r="H96" s="3">
        <v>662</v>
      </c>
      <c r="I96" s="3">
        <v>4</v>
      </c>
      <c r="J96">
        <v>2383.1999999999998</v>
      </c>
      <c r="K96">
        <v>422.33</v>
      </c>
      <c r="L96">
        <v>862.81</v>
      </c>
      <c r="M96" s="3">
        <v>3.2</v>
      </c>
      <c r="N96" s="3">
        <v>7</v>
      </c>
      <c r="O96">
        <v>0.1</v>
      </c>
      <c r="P96" t="s">
        <v>35</v>
      </c>
      <c r="Q96" s="5">
        <f t="shared" si="8"/>
        <v>0.36203843571668348</v>
      </c>
      <c r="R96" t="str">
        <f t="shared" si="9"/>
        <v>Riesgo</v>
      </c>
      <c r="S96" s="3" t="str">
        <f t="shared" si="10"/>
        <v>Q1</v>
      </c>
      <c r="T96" s="3">
        <f t="shared" si="11"/>
        <v>6</v>
      </c>
      <c r="U96" t="str">
        <f t="shared" si="12"/>
        <v>Mejorable</v>
      </c>
      <c r="V96">
        <f>VLOOKUP(G96,Datos_Empleados!B:E,4,FALSE)</f>
        <v>32</v>
      </c>
      <c r="W96">
        <f>VLOOKUP(G96,Datos_Empleados!B:I,8,FALSE)</f>
        <v>4</v>
      </c>
      <c r="X96">
        <f>INDEX(Datos_Productos!G:G,MATCH(F96,Datos_Productos!B:B,0))</f>
        <v>37</v>
      </c>
      <c r="Y96">
        <f t="shared" si="13"/>
        <v>-0.12182424823691575</v>
      </c>
      <c r="Z96" t="str">
        <f t="shared" si="14"/>
        <v>No</v>
      </c>
      <c r="AA96" t="str">
        <f t="shared" si="15"/>
        <v>No</v>
      </c>
    </row>
    <row r="97" spans="1:27" x14ac:dyDescent="0.25">
      <c r="A97" t="s">
        <v>146</v>
      </c>
      <c r="B97" s="7">
        <v>45303</v>
      </c>
      <c r="C97" t="s">
        <v>32</v>
      </c>
      <c r="D97" t="s">
        <v>42</v>
      </c>
      <c r="E97" t="s">
        <v>24</v>
      </c>
      <c r="F97" t="s">
        <v>58</v>
      </c>
      <c r="G97" t="s">
        <v>34</v>
      </c>
      <c r="H97" s="3">
        <v>351</v>
      </c>
      <c r="I97" s="3">
        <v>3</v>
      </c>
      <c r="J97">
        <v>1000.35</v>
      </c>
      <c r="K97">
        <v>280.02</v>
      </c>
      <c r="L97">
        <v>202.31</v>
      </c>
      <c r="M97" s="3">
        <v>4.5999999999999996</v>
      </c>
      <c r="N97" s="3">
        <v>2</v>
      </c>
      <c r="O97">
        <v>0.05</v>
      </c>
      <c r="P97" t="s">
        <v>39</v>
      </c>
      <c r="Q97" s="5">
        <f t="shared" si="8"/>
        <v>0.202239216274304</v>
      </c>
      <c r="R97" t="str">
        <f t="shared" si="9"/>
        <v>Premium</v>
      </c>
      <c r="S97" s="3" t="str">
        <f t="shared" si="10"/>
        <v>Q1</v>
      </c>
      <c r="T97" s="3">
        <f t="shared" si="11"/>
        <v>6</v>
      </c>
      <c r="U97" t="str">
        <f t="shared" si="12"/>
        <v>Excelente</v>
      </c>
      <c r="V97">
        <f>VLOOKUP(G97,Datos_Empleados!B:E,4,FALSE)</f>
        <v>37</v>
      </c>
      <c r="W97">
        <f>VLOOKUP(G97,Datos_Empleados!B:I,8,FALSE)</f>
        <v>3.6</v>
      </c>
      <c r="X97">
        <f>INDEX(Datos_Productos!G:G,MATCH(F97,Datos_Productos!B:B,0))</f>
        <v>37</v>
      </c>
      <c r="Y97">
        <f t="shared" si="13"/>
        <v>-1.1007179051537634</v>
      </c>
      <c r="Z97" t="str">
        <f t="shared" si="14"/>
        <v>No</v>
      </c>
      <c r="AA97" t="str">
        <f t="shared" si="15"/>
        <v>No</v>
      </c>
    </row>
    <row r="98" spans="1:27" x14ac:dyDescent="0.25">
      <c r="A98" t="s">
        <v>147</v>
      </c>
      <c r="B98" s="7">
        <v>45362</v>
      </c>
      <c r="C98" t="s">
        <v>32</v>
      </c>
      <c r="D98" t="s">
        <v>42</v>
      </c>
      <c r="E98" t="s">
        <v>29</v>
      </c>
      <c r="F98" t="s">
        <v>30</v>
      </c>
      <c r="G98" t="s">
        <v>38</v>
      </c>
      <c r="H98" s="3">
        <v>951</v>
      </c>
      <c r="I98" s="3">
        <v>5</v>
      </c>
      <c r="J98">
        <v>4755</v>
      </c>
      <c r="K98">
        <v>623.34</v>
      </c>
      <c r="L98">
        <v>1638.31</v>
      </c>
      <c r="M98" s="3">
        <v>5</v>
      </c>
      <c r="N98" s="3">
        <v>2</v>
      </c>
      <c r="O98">
        <v>0</v>
      </c>
      <c r="P98" t="s">
        <v>27</v>
      </c>
      <c r="Q98" s="5">
        <f t="shared" si="8"/>
        <v>0.3445446898002103</v>
      </c>
      <c r="R98" t="str">
        <f t="shared" si="9"/>
        <v>Premium</v>
      </c>
      <c r="S98" s="3" t="str">
        <f t="shared" si="10"/>
        <v>Q1</v>
      </c>
      <c r="T98" s="3">
        <f t="shared" si="11"/>
        <v>2</v>
      </c>
      <c r="U98" t="str">
        <f t="shared" si="12"/>
        <v>Excelente</v>
      </c>
      <c r="V98">
        <f>VLOOKUP(G98,Datos_Empleados!B:E,4,FALSE)</f>
        <v>32</v>
      </c>
      <c r="W98">
        <f>VLOOKUP(G98,Datos_Empleados!B:I,8,FALSE)</f>
        <v>4</v>
      </c>
      <c r="X98">
        <f>INDEX(Datos_Productos!G:G,MATCH(F98,Datos_Productos!B:B,0))</f>
        <v>41</v>
      </c>
      <c r="Y98">
        <f t="shared" si="13"/>
        <v>1.5571286211815893</v>
      </c>
      <c r="Z98" t="str">
        <f t="shared" si="14"/>
        <v>No</v>
      </c>
      <c r="AA98" t="str">
        <f t="shared" si="15"/>
        <v>No</v>
      </c>
    </row>
    <row r="99" spans="1:27" x14ac:dyDescent="0.25">
      <c r="A99" t="s">
        <v>148</v>
      </c>
      <c r="B99" s="7">
        <v>45324</v>
      </c>
      <c r="C99" t="s">
        <v>32</v>
      </c>
      <c r="D99" t="s">
        <v>23</v>
      </c>
      <c r="E99" t="s">
        <v>24</v>
      </c>
      <c r="F99" t="s">
        <v>48</v>
      </c>
      <c r="G99" t="s">
        <v>49</v>
      </c>
      <c r="H99" s="3">
        <v>315</v>
      </c>
      <c r="I99" s="3">
        <v>3</v>
      </c>
      <c r="J99">
        <v>897.75</v>
      </c>
      <c r="K99">
        <v>226.1</v>
      </c>
      <c r="L99">
        <v>253.37</v>
      </c>
      <c r="M99" s="3">
        <v>3</v>
      </c>
      <c r="N99" s="3">
        <v>3</v>
      </c>
      <c r="O99">
        <v>0.05</v>
      </c>
      <c r="P99" t="s">
        <v>39</v>
      </c>
      <c r="Q99" s="5">
        <f t="shared" si="8"/>
        <v>0.28222779170147594</v>
      </c>
      <c r="R99" t="str">
        <f t="shared" si="9"/>
        <v>Riesgo</v>
      </c>
      <c r="S99" s="3" t="str">
        <f t="shared" si="10"/>
        <v>Q1</v>
      </c>
      <c r="T99" s="3">
        <f t="shared" si="11"/>
        <v>6</v>
      </c>
      <c r="U99" t="str">
        <f t="shared" si="12"/>
        <v>Buena</v>
      </c>
      <c r="V99">
        <f>VLOOKUP(G99,Datos_Empleados!B:E,4,FALSE)</f>
        <v>30</v>
      </c>
      <c r="W99">
        <f>VLOOKUP(G99,Datos_Empleados!B:I,8,FALSE)</f>
        <v>4.2</v>
      </c>
      <c r="X99">
        <f>INDEX(Datos_Productos!G:G,MATCH(F99,Datos_Productos!B:B,0))</f>
        <v>38</v>
      </c>
      <c r="Y99">
        <f t="shared" si="13"/>
        <v>-1.173346526623676</v>
      </c>
      <c r="Z99" t="str">
        <f t="shared" si="14"/>
        <v>No</v>
      </c>
      <c r="AA99" t="str">
        <f t="shared" si="15"/>
        <v>No</v>
      </c>
    </row>
    <row r="100" spans="1:27" x14ac:dyDescent="0.25">
      <c r="A100" t="s">
        <v>149</v>
      </c>
      <c r="B100" s="7">
        <v>45308</v>
      </c>
      <c r="C100" t="s">
        <v>44</v>
      </c>
      <c r="D100" t="s">
        <v>42</v>
      </c>
      <c r="E100" t="s">
        <v>29</v>
      </c>
      <c r="F100" t="s">
        <v>78</v>
      </c>
      <c r="G100" t="s">
        <v>63</v>
      </c>
      <c r="H100" s="3">
        <v>1287</v>
      </c>
      <c r="I100" s="3">
        <v>4</v>
      </c>
      <c r="J100">
        <v>4633.2</v>
      </c>
      <c r="K100">
        <v>904.31</v>
      </c>
      <c r="L100">
        <v>1377.69</v>
      </c>
      <c r="M100" s="3">
        <v>3.2</v>
      </c>
      <c r="N100" s="3">
        <v>5</v>
      </c>
      <c r="O100">
        <v>0.1</v>
      </c>
      <c r="P100" t="s">
        <v>39</v>
      </c>
      <c r="Q100" s="5">
        <f t="shared" si="8"/>
        <v>0.29735172235172236</v>
      </c>
      <c r="R100" t="str">
        <f t="shared" si="9"/>
        <v>Riesgo</v>
      </c>
      <c r="S100" s="3" t="str">
        <f t="shared" si="10"/>
        <v>Q1</v>
      </c>
      <c r="T100" s="3">
        <f t="shared" si="11"/>
        <v>4</v>
      </c>
      <c r="U100" t="str">
        <f t="shared" si="12"/>
        <v>Mejorable</v>
      </c>
      <c r="V100">
        <f>VLOOKUP(G100,Datos_Empleados!B:E,4,FALSE)</f>
        <v>10</v>
      </c>
      <c r="W100">
        <f>VLOOKUP(G100,Datos_Empleados!B:I,8,FALSE)</f>
        <v>4.4000000000000004</v>
      </c>
      <c r="X100">
        <f>INDEX(Datos_Productos!G:G,MATCH(F100,Datos_Productos!B:B,0))</f>
        <v>29</v>
      </c>
      <c r="Y100">
        <f t="shared" si="13"/>
        <v>1.4709086787348509</v>
      </c>
      <c r="Z100" t="str">
        <f t="shared" si="14"/>
        <v>No</v>
      </c>
      <c r="AA100" t="str">
        <f t="shared" si="15"/>
        <v>No</v>
      </c>
    </row>
    <row r="101" spans="1:27" x14ac:dyDescent="0.25">
      <c r="A101" t="s">
        <v>150</v>
      </c>
      <c r="B101" s="7">
        <v>45370</v>
      </c>
      <c r="C101" t="s">
        <v>22</v>
      </c>
      <c r="D101" t="s">
        <v>42</v>
      </c>
      <c r="E101" t="s">
        <v>24</v>
      </c>
      <c r="F101" t="s">
        <v>58</v>
      </c>
      <c r="G101" t="s">
        <v>71</v>
      </c>
      <c r="H101" s="3">
        <v>769</v>
      </c>
      <c r="I101" s="3">
        <v>1</v>
      </c>
      <c r="J101">
        <v>769</v>
      </c>
      <c r="K101">
        <v>614.98</v>
      </c>
      <c r="L101">
        <v>154.02000000000001</v>
      </c>
      <c r="M101" s="3">
        <v>4.7</v>
      </c>
      <c r="N101" s="3">
        <v>4</v>
      </c>
      <c r="O101">
        <v>0</v>
      </c>
      <c r="P101" t="s">
        <v>27</v>
      </c>
      <c r="Q101" s="5">
        <f t="shared" si="8"/>
        <v>0.20028608582574775</v>
      </c>
      <c r="R101" t="str">
        <f t="shared" si="9"/>
        <v>Premium</v>
      </c>
      <c r="S101" s="3" t="str">
        <f t="shared" si="10"/>
        <v>Q1</v>
      </c>
      <c r="T101" s="3">
        <f t="shared" si="11"/>
        <v>3</v>
      </c>
      <c r="U101" t="str">
        <f t="shared" si="12"/>
        <v>Buena</v>
      </c>
      <c r="V101">
        <f>VLOOKUP(G101,Datos_Empleados!B:E,4,FALSE)</f>
        <v>33</v>
      </c>
      <c r="W101">
        <f>VLOOKUP(G101,Datos_Empleados!B:I,8,FALSE)</f>
        <v>4.0999999999999996</v>
      </c>
      <c r="X101">
        <f>INDEX(Datos_Productos!G:G,MATCH(F101,Datos_Productos!B:B,0))</f>
        <v>37</v>
      </c>
      <c r="Y101">
        <f t="shared" si="13"/>
        <v>-1.2644862441115048</v>
      </c>
      <c r="Z101" t="str">
        <f t="shared" si="14"/>
        <v>No</v>
      </c>
      <c r="AA101" t="str">
        <f t="shared" si="15"/>
        <v>No</v>
      </c>
    </row>
    <row r="110" spans="1:27" x14ac:dyDescent="0.25">
      <c r="A110" s="1"/>
      <c r="B110" s="6"/>
      <c r="C110" s="1"/>
      <c r="D110" s="1"/>
      <c r="E110" s="1"/>
      <c r="F110" s="1"/>
      <c r="G110" s="1"/>
      <c r="H110" s="37"/>
      <c r="I110" s="37"/>
      <c r="J110" s="1"/>
      <c r="K110" s="1"/>
      <c r="L110" s="1"/>
      <c r="M110" s="37"/>
      <c r="N110" s="37"/>
      <c r="O110" s="1"/>
      <c r="P110" s="1"/>
      <c r="Q110" s="4"/>
      <c r="R110" s="1"/>
      <c r="S110" s="1"/>
      <c r="T110" s="1"/>
      <c r="U110" s="1"/>
      <c r="V110" s="1"/>
      <c r="W110" s="1"/>
    </row>
    <row r="111" spans="1:27" x14ac:dyDescent="0.25">
      <c r="S111" s="3"/>
      <c r="T111" s="3"/>
    </row>
    <row r="112" spans="1:27" x14ac:dyDescent="0.25">
      <c r="S112" s="3"/>
      <c r="T112" s="3"/>
    </row>
    <row r="113" spans="19:20" x14ac:dyDescent="0.25">
      <c r="S113" s="3"/>
      <c r="T113" s="3"/>
    </row>
    <row r="114" spans="19:20" x14ac:dyDescent="0.25">
      <c r="S114" s="3"/>
      <c r="T114" s="3"/>
    </row>
    <row r="115" spans="19:20" x14ac:dyDescent="0.25">
      <c r="S115" s="3"/>
      <c r="T115" s="3"/>
    </row>
    <row r="116" spans="19:20" x14ac:dyDescent="0.25">
      <c r="S116" s="3"/>
      <c r="T116" s="3"/>
    </row>
    <row r="117" spans="19:20" x14ac:dyDescent="0.25">
      <c r="S117" s="3"/>
      <c r="T117" s="3"/>
    </row>
    <row r="118" spans="19:20" x14ac:dyDescent="0.25">
      <c r="S118" s="3"/>
      <c r="T118" s="3"/>
    </row>
    <row r="119" spans="19:20" x14ac:dyDescent="0.25">
      <c r="S119" s="3"/>
      <c r="T119" s="3"/>
    </row>
    <row r="120" spans="19:20" x14ac:dyDescent="0.25">
      <c r="S120" s="3"/>
      <c r="T120" s="3"/>
    </row>
    <row r="121" spans="19:20" x14ac:dyDescent="0.25">
      <c r="S121" s="3"/>
      <c r="T121" s="3"/>
    </row>
    <row r="122" spans="19:20" x14ac:dyDescent="0.25">
      <c r="S122" s="3"/>
      <c r="T122" s="3"/>
    </row>
    <row r="123" spans="19:20" x14ac:dyDescent="0.25">
      <c r="S123" s="3"/>
      <c r="T123" s="3"/>
    </row>
    <row r="124" spans="19:20" x14ac:dyDescent="0.25">
      <c r="S124" s="3"/>
      <c r="T124" s="3"/>
    </row>
    <row r="125" spans="19:20" x14ac:dyDescent="0.25">
      <c r="S125" s="3"/>
      <c r="T125" s="3"/>
    </row>
    <row r="126" spans="19:20" x14ac:dyDescent="0.25">
      <c r="S126" s="3"/>
      <c r="T126" s="3"/>
    </row>
    <row r="127" spans="19:20" x14ac:dyDescent="0.25">
      <c r="S127" s="3"/>
      <c r="T127" s="3"/>
    </row>
    <row r="128" spans="19:20" x14ac:dyDescent="0.25">
      <c r="S128" s="3"/>
      <c r="T128" s="3"/>
    </row>
    <row r="129" spans="19:20" x14ac:dyDescent="0.25">
      <c r="S129" s="3"/>
      <c r="T129" s="3"/>
    </row>
    <row r="130" spans="19:20" x14ac:dyDescent="0.25">
      <c r="S130" s="3"/>
      <c r="T130" s="3"/>
    </row>
    <row r="131" spans="19:20" x14ac:dyDescent="0.25">
      <c r="S131" s="3"/>
      <c r="T131" s="3"/>
    </row>
    <row r="132" spans="19:20" x14ac:dyDescent="0.25">
      <c r="S132" s="3"/>
      <c r="T132" s="3"/>
    </row>
    <row r="133" spans="19:20" x14ac:dyDescent="0.25">
      <c r="S133" s="3"/>
      <c r="T133" s="3"/>
    </row>
    <row r="134" spans="19:20" x14ac:dyDescent="0.25">
      <c r="S134" s="3"/>
      <c r="T134" s="3"/>
    </row>
    <row r="135" spans="19:20" x14ac:dyDescent="0.25">
      <c r="S135" s="3"/>
      <c r="T135" s="3"/>
    </row>
    <row r="136" spans="19:20" x14ac:dyDescent="0.25">
      <c r="S136" s="3"/>
      <c r="T136" s="3"/>
    </row>
    <row r="137" spans="19:20" x14ac:dyDescent="0.25">
      <c r="S137" s="3"/>
      <c r="T137" s="3"/>
    </row>
    <row r="138" spans="19:20" x14ac:dyDescent="0.25">
      <c r="S138" s="3"/>
      <c r="T138" s="3"/>
    </row>
    <row r="139" spans="19:20" x14ac:dyDescent="0.25">
      <c r="S139" s="3"/>
      <c r="T139" s="3"/>
    </row>
    <row r="140" spans="19:20" x14ac:dyDescent="0.25">
      <c r="S140" s="3"/>
      <c r="T140" s="3"/>
    </row>
    <row r="141" spans="19:20" x14ac:dyDescent="0.25">
      <c r="S141" s="3"/>
      <c r="T141" s="3"/>
    </row>
    <row r="142" spans="19:20" x14ac:dyDescent="0.25">
      <c r="S142" s="3"/>
      <c r="T142" s="3"/>
    </row>
    <row r="143" spans="19:20" x14ac:dyDescent="0.25">
      <c r="S143" s="3"/>
      <c r="T143" s="3"/>
    </row>
    <row r="144" spans="19:20" x14ac:dyDescent="0.25">
      <c r="S144" s="3"/>
      <c r="T144" s="3"/>
    </row>
    <row r="145" spans="19:20" x14ac:dyDescent="0.25">
      <c r="S145" s="3"/>
      <c r="T145" s="3"/>
    </row>
    <row r="146" spans="19:20" x14ac:dyDescent="0.25">
      <c r="S146" s="3"/>
      <c r="T146" s="3"/>
    </row>
    <row r="147" spans="19:20" x14ac:dyDescent="0.25">
      <c r="S147" s="3"/>
      <c r="T147" s="3"/>
    </row>
    <row r="148" spans="19:20" x14ac:dyDescent="0.25">
      <c r="S148" s="3"/>
      <c r="T148" s="3"/>
    </row>
    <row r="149" spans="19:20" x14ac:dyDescent="0.25">
      <c r="S149" s="3"/>
      <c r="T149" s="3"/>
    </row>
    <row r="150" spans="19:20" x14ac:dyDescent="0.25">
      <c r="S150" s="3"/>
      <c r="T150" s="3"/>
    </row>
    <row r="151" spans="19:20" x14ac:dyDescent="0.25">
      <c r="S151" s="3"/>
      <c r="T151" s="3"/>
    </row>
    <row r="152" spans="19:20" x14ac:dyDescent="0.25">
      <c r="S152" s="3"/>
      <c r="T152" s="3"/>
    </row>
    <row r="153" spans="19:20" x14ac:dyDescent="0.25">
      <c r="S153" s="3"/>
      <c r="T153" s="3"/>
    </row>
    <row r="154" spans="19:20" x14ac:dyDescent="0.25">
      <c r="S154" s="3"/>
      <c r="T154" s="3"/>
    </row>
    <row r="155" spans="19:20" x14ac:dyDescent="0.25">
      <c r="S155" s="3"/>
      <c r="T155" s="3"/>
    </row>
    <row r="156" spans="19:20" x14ac:dyDescent="0.25">
      <c r="S156" s="3"/>
      <c r="T156" s="3"/>
    </row>
    <row r="157" spans="19:20" x14ac:dyDescent="0.25">
      <c r="S157" s="3"/>
      <c r="T157" s="3"/>
    </row>
    <row r="158" spans="19:20" x14ac:dyDescent="0.25">
      <c r="S158" s="3"/>
      <c r="T158" s="3"/>
    </row>
    <row r="159" spans="19:20" x14ac:dyDescent="0.25">
      <c r="S159" s="3"/>
      <c r="T159" s="3"/>
    </row>
    <row r="160" spans="19:20" x14ac:dyDescent="0.25">
      <c r="S160" s="3"/>
      <c r="T160" s="3"/>
    </row>
    <row r="161" spans="19:20" x14ac:dyDescent="0.25">
      <c r="S161" s="3"/>
      <c r="T161" s="3"/>
    </row>
    <row r="162" spans="19:20" x14ac:dyDescent="0.25">
      <c r="S162" s="3"/>
      <c r="T162" s="3"/>
    </row>
    <row r="163" spans="19:20" x14ac:dyDescent="0.25">
      <c r="S163" s="3"/>
      <c r="T163" s="3"/>
    </row>
    <row r="164" spans="19:20" x14ac:dyDescent="0.25">
      <c r="S164" s="3"/>
      <c r="T164" s="3"/>
    </row>
    <row r="165" spans="19:20" x14ac:dyDescent="0.25">
      <c r="S165" s="3"/>
      <c r="T165" s="3"/>
    </row>
    <row r="166" spans="19:20" x14ac:dyDescent="0.25">
      <c r="S166" s="3"/>
      <c r="T166" s="3"/>
    </row>
    <row r="167" spans="19:20" x14ac:dyDescent="0.25">
      <c r="S167" s="3"/>
      <c r="T167" s="3"/>
    </row>
    <row r="168" spans="19:20" x14ac:dyDescent="0.25">
      <c r="S168" s="3"/>
      <c r="T168" s="3"/>
    </row>
    <row r="169" spans="19:20" x14ac:dyDescent="0.25">
      <c r="S169" s="3"/>
      <c r="T169" s="3"/>
    </row>
    <row r="170" spans="19:20" x14ac:dyDescent="0.25">
      <c r="S170" s="3"/>
      <c r="T170" s="3"/>
    </row>
    <row r="171" spans="19:20" x14ac:dyDescent="0.25">
      <c r="S171" s="3"/>
      <c r="T171" s="3"/>
    </row>
    <row r="172" spans="19:20" x14ac:dyDescent="0.25">
      <c r="S172" s="3"/>
      <c r="T172" s="3"/>
    </row>
    <row r="173" spans="19:20" x14ac:dyDescent="0.25">
      <c r="S173" s="3"/>
      <c r="T173" s="3"/>
    </row>
    <row r="174" spans="19:20" x14ac:dyDescent="0.25">
      <c r="S174" s="3"/>
      <c r="T174" s="3"/>
    </row>
    <row r="175" spans="19:20" x14ac:dyDescent="0.25">
      <c r="S175" s="3"/>
      <c r="T175" s="3"/>
    </row>
    <row r="176" spans="19:20" x14ac:dyDescent="0.25">
      <c r="S176" s="3"/>
      <c r="T176" s="3"/>
    </row>
    <row r="177" spans="19:20" x14ac:dyDescent="0.25">
      <c r="S177" s="3"/>
      <c r="T177" s="3"/>
    </row>
    <row r="178" spans="19:20" x14ac:dyDescent="0.25">
      <c r="S178" s="3"/>
      <c r="T178" s="3"/>
    </row>
    <row r="179" spans="19:20" x14ac:dyDescent="0.25">
      <c r="S179" s="3"/>
      <c r="T179" s="3"/>
    </row>
    <row r="180" spans="19:20" x14ac:dyDescent="0.25">
      <c r="S180" s="3"/>
      <c r="T180" s="3"/>
    </row>
    <row r="181" spans="19:20" x14ac:dyDescent="0.25">
      <c r="S181" s="3"/>
      <c r="T181" s="3"/>
    </row>
    <row r="182" spans="19:20" x14ac:dyDescent="0.25">
      <c r="S182" s="3"/>
      <c r="T182" s="3"/>
    </row>
    <row r="183" spans="19:20" x14ac:dyDescent="0.25">
      <c r="S183" s="3"/>
      <c r="T183" s="3"/>
    </row>
    <row r="184" spans="19:20" x14ac:dyDescent="0.25">
      <c r="S184" s="3"/>
      <c r="T184" s="3"/>
    </row>
    <row r="185" spans="19:20" x14ac:dyDescent="0.25">
      <c r="S185" s="3"/>
      <c r="T185" s="3"/>
    </row>
    <row r="186" spans="19:20" x14ac:dyDescent="0.25">
      <c r="S186" s="3"/>
      <c r="T186" s="3"/>
    </row>
    <row r="187" spans="19:20" x14ac:dyDescent="0.25">
      <c r="S187" s="3"/>
      <c r="T187" s="3"/>
    </row>
    <row r="188" spans="19:20" x14ac:dyDescent="0.25">
      <c r="S188" s="3"/>
      <c r="T188" s="3"/>
    </row>
    <row r="189" spans="19:20" x14ac:dyDescent="0.25">
      <c r="S189" s="3"/>
      <c r="T189" s="3"/>
    </row>
    <row r="190" spans="19:20" x14ac:dyDescent="0.25">
      <c r="S190" s="3"/>
      <c r="T190" s="3"/>
    </row>
    <row r="191" spans="19:20" x14ac:dyDescent="0.25">
      <c r="S191" s="3"/>
      <c r="T191" s="3"/>
    </row>
    <row r="192" spans="19:20" x14ac:dyDescent="0.25">
      <c r="S192" s="3"/>
      <c r="T192" s="3"/>
    </row>
    <row r="193" spans="19:20" x14ac:dyDescent="0.25">
      <c r="S193" s="3"/>
      <c r="T193" s="3"/>
    </row>
    <row r="194" spans="19:20" x14ac:dyDescent="0.25">
      <c r="S194" s="3"/>
      <c r="T194" s="3"/>
    </row>
    <row r="195" spans="19:20" x14ac:dyDescent="0.25">
      <c r="S195" s="3"/>
      <c r="T195" s="3"/>
    </row>
    <row r="196" spans="19:20" x14ac:dyDescent="0.25">
      <c r="S196" s="3"/>
      <c r="T196" s="3"/>
    </row>
    <row r="197" spans="19:20" x14ac:dyDescent="0.25">
      <c r="S197" s="3"/>
      <c r="T197" s="3"/>
    </row>
    <row r="198" spans="19:20" x14ac:dyDescent="0.25">
      <c r="S198" s="3"/>
      <c r="T198" s="3"/>
    </row>
    <row r="199" spans="19:20" x14ac:dyDescent="0.25">
      <c r="S199" s="3"/>
      <c r="T199" s="3"/>
    </row>
    <row r="200" spans="19:20" x14ac:dyDescent="0.25">
      <c r="S200" s="3"/>
      <c r="T200" s="3"/>
    </row>
    <row r="201" spans="19:20" x14ac:dyDescent="0.25">
      <c r="S201" s="3"/>
      <c r="T201" s="3"/>
    </row>
    <row r="202" spans="19:20" x14ac:dyDescent="0.25">
      <c r="S202" s="3"/>
      <c r="T202" s="3"/>
    </row>
    <row r="203" spans="19:20" x14ac:dyDescent="0.25">
      <c r="S203" s="3"/>
      <c r="T203" s="3"/>
    </row>
    <row r="204" spans="19:20" x14ac:dyDescent="0.25">
      <c r="S204" s="3"/>
      <c r="T204" s="3"/>
    </row>
    <row r="205" spans="19:20" x14ac:dyDescent="0.25">
      <c r="S205" s="3"/>
      <c r="T205" s="3"/>
    </row>
    <row r="206" spans="19:20" x14ac:dyDescent="0.25">
      <c r="S206" s="3"/>
      <c r="T206" s="3"/>
    </row>
    <row r="207" spans="19:20" x14ac:dyDescent="0.25">
      <c r="S207" s="3"/>
      <c r="T207" s="3"/>
    </row>
    <row r="208" spans="19:20" x14ac:dyDescent="0.25">
      <c r="S208" s="3"/>
      <c r="T208" s="3"/>
    </row>
    <row r="209" spans="19:20" x14ac:dyDescent="0.25">
      <c r="S209" s="3"/>
      <c r="T209" s="3"/>
    </row>
    <row r="210" spans="19:20" x14ac:dyDescent="0.25">
      <c r="S210" s="3"/>
      <c r="T210" s="3"/>
    </row>
  </sheetData>
  <autoFilter ref="A1:X101" xr:uid="{8FA9F164-611A-4C45-BF54-E0E161FDC730}"/>
  <conditionalFormatting sqref="M1:M1048576">
    <cfRule type="cellIs" dxfId="3" priority="3" operator="lessThan">
      <formula>4</formula>
    </cfRule>
    <cfRule type="cellIs" dxfId="2" priority="4" operator="lessThan">
      <formula>3</formula>
    </cfRule>
  </conditionalFormatting>
  <conditionalFormatting sqref="AO1:AO101">
    <cfRule type="cellIs" dxfId="1" priority="1" operator="lessThan">
      <formula>4</formula>
    </cfRule>
    <cfRule type="cellIs" dxfId="0" priority="2" operator="lessThan">
      <formula>3</formula>
    </cfRule>
  </conditionalFormatting>
  <dataValidations count="4">
    <dataValidation type="list" allowBlank="1" showInputMessage="1" showErrorMessage="1" sqref="C1:C1048576" xr:uid="{B3A1BDDD-5CC0-4375-9A74-FE922781B39D}">
      <formula1>"Norte,Sur,Este,Oeste"</formula1>
    </dataValidation>
    <dataValidation type="list" allowBlank="1" showInputMessage="1" showErrorMessage="1" sqref="D1:D1048576" xr:uid="{0CB99B77-4ECB-4E9C-9471-CC6073F80858}">
      <formula1>"Online,Tienda,Distribuidor"</formula1>
    </dataValidation>
    <dataValidation type="list" allowBlank="1" showInputMessage="1" showErrorMessage="1" sqref="P1:P1048576" xr:uid="{FA644295-8EEE-4A54-921C-454F6413E07C}">
      <formula1>"Tarjeta,Efectivo,Transferencia"</formula1>
    </dataValidation>
    <dataValidation type="decimal" allowBlank="1" showInputMessage="1" showErrorMessage="1" sqref="H1:H1048576 AN1:AN101" xr:uid="{7FA754E1-C1EA-4E62-9EAF-DCF245E983F5}">
      <formula1>100</formula1>
      <formula2>1500</formula2>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AA4EE2-664E-42D2-A475-B70BFFF0C40B}">
  <sheetPr codeName="Hoja3"/>
  <dimension ref="A1:J9"/>
  <sheetViews>
    <sheetView workbookViewId="0">
      <selection activeCell="I1" sqref="I1"/>
    </sheetView>
  </sheetViews>
  <sheetFormatPr baseColWidth="10" defaultRowHeight="15" x14ac:dyDescent="0.25"/>
  <sheetData>
    <row r="1" spans="1:10" x14ac:dyDescent="0.25">
      <c r="A1" s="1" t="s">
        <v>151</v>
      </c>
      <c r="B1" s="1" t="s">
        <v>152</v>
      </c>
      <c r="C1" s="1" t="s">
        <v>2</v>
      </c>
      <c r="D1" s="1" t="s">
        <v>153</v>
      </c>
      <c r="E1" s="1" t="s">
        <v>154</v>
      </c>
      <c r="F1" s="1" t="s">
        <v>155</v>
      </c>
      <c r="G1" s="1" t="s">
        <v>156</v>
      </c>
      <c r="H1" s="1" t="s">
        <v>157</v>
      </c>
      <c r="I1" s="1" t="s">
        <v>158</v>
      </c>
      <c r="J1" s="1" t="s">
        <v>159</v>
      </c>
    </row>
    <row r="2" spans="1:10" x14ac:dyDescent="0.25">
      <c r="A2" t="s">
        <v>160</v>
      </c>
      <c r="B2" t="s">
        <v>34</v>
      </c>
      <c r="C2" t="s">
        <v>22</v>
      </c>
      <c r="D2" t="s">
        <v>161</v>
      </c>
      <c r="E2">
        <v>37</v>
      </c>
      <c r="F2">
        <v>54534</v>
      </c>
      <c r="G2">
        <v>45230.3</v>
      </c>
      <c r="H2">
        <v>0.08</v>
      </c>
      <c r="I2">
        <v>3.6</v>
      </c>
      <c r="J2">
        <v>12</v>
      </c>
    </row>
    <row r="3" spans="1:10" x14ac:dyDescent="0.25">
      <c r="A3" t="s">
        <v>162</v>
      </c>
      <c r="B3" t="s">
        <v>63</v>
      </c>
      <c r="C3" t="s">
        <v>32</v>
      </c>
      <c r="D3" t="s">
        <v>6</v>
      </c>
      <c r="E3">
        <v>10</v>
      </c>
      <c r="F3">
        <v>44135</v>
      </c>
      <c r="G3">
        <v>40163.129999999997</v>
      </c>
      <c r="H3">
        <v>0.06</v>
      </c>
      <c r="I3">
        <v>4.4000000000000004</v>
      </c>
      <c r="J3">
        <v>11</v>
      </c>
    </row>
    <row r="4" spans="1:10" x14ac:dyDescent="0.25">
      <c r="A4" t="s">
        <v>163</v>
      </c>
      <c r="B4" t="s">
        <v>49</v>
      </c>
      <c r="C4" t="s">
        <v>41</v>
      </c>
      <c r="D4" t="s">
        <v>161</v>
      </c>
      <c r="E4">
        <v>30</v>
      </c>
      <c r="F4">
        <v>59575</v>
      </c>
      <c r="G4">
        <v>60303.17</v>
      </c>
      <c r="H4">
        <v>0.08</v>
      </c>
      <c r="I4">
        <v>4.2</v>
      </c>
      <c r="J4">
        <v>12</v>
      </c>
    </row>
    <row r="5" spans="1:10" x14ac:dyDescent="0.25">
      <c r="A5" t="s">
        <v>164</v>
      </c>
      <c r="B5" t="s">
        <v>26</v>
      </c>
      <c r="C5" t="s">
        <v>44</v>
      </c>
      <c r="D5" t="s">
        <v>6</v>
      </c>
      <c r="E5">
        <v>12</v>
      </c>
      <c r="F5">
        <v>43749</v>
      </c>
      <c r="G5">
        <v>49922.73</v>
      </c>
      <c r="H5">
        <v>0.06</v>
      </c>
      <c r="I5">
        <v>4.5</v>
      </c>
      <c r="J5">
        <v>15</v>
      </c>
    </row>
    <row r="6" spans="1:10" x14ac:dyDescent="0.25">
      <c r="A6" t="s">
        <v>165</v>
      </c>
      <c r="B6" t="s">
        <v>71</v>
      </c>
      <c r="C6" t="s">
        <v>32</v>
      </c>
      <c r="D6" t="s">
        <v>161</v>
      </c>
      <c r="E6">
        <v>33</v>
      </c>
      <c r="F6">
        <v>54796</v>
      </c>
      <c r="G6">
        <v>63302.33</v>
      </c>
      <c r="H6">
        <v>0.08</v>
      </c>
      <c r="I6">
        <v>4.0999999999999996</v>
      </c>
      <c r="J6">
        <v>10</v>
      </c>
    </row>
    <row r="7" spans="1:10" x14ac:dyDescent="0.25">
      <c r="A7" t="s">
        <v>166</v>
      </c>
      <c r="B7" t="s">
        <v>38</v>
      </c>
      <c r="C7" t="s">
        <v>44</v>
      </c>
      <c r="D7" t="s">
        <v>161</v>
      </c>
      <c r="E7">
        <v>32</v>
      </c>
      <c r="F7">
        <v>43115</v>
      </c>
      <c r="G7">
        <v>39882.21</v>
      </c>
      <c r="H7">
        <v>0.08</v>
      </c>
      <c r="I7">
        <v>4</v>
      </c>
      <c r="J7">
        <v>7</v>
      </c>
    </row>
    <row r="8" spans="1:10" x14ac:dyDescent="0.25">
      <c r="A8" t="s">
        <v>167</v>
      </c>
      <c r="B8" t="s">
        <v>67</v>
      </c>
      <c r="C8" t="s">
        <v>41</v>
      </c>
      <c r="D8" t="s">
        <v>6</v>
      </c>
      <c r="E8">
        <v>15</v>
      </c>
      <c r="F8">
        <v>55540</v>
      </c>
      <c r="G8">
        <v>45923.43</v>
      </c>
      <c r="H8">
        <v>0.06</v>
      </c>
      <c r="I8">
        <v>4.7</v>
      </c>
      <c r="J8">
        <v>4</v>
      </c>
    </row>
    <row r="9" spans="1:10" x14ac:dyDescent="0.25">
      <c r="A9" t="s">
        <v>168</v>
      </c>
      <c r="B9" t="s">
        <v>53</v>
      </c>
      <c r="C9" t="s">
        <v>44</v>
      </c>
      <c r="D9" t="s">
        <v>6</v>
      </c>
      <c r="E9">
        <v>12</v>
      </c>
      <c r="F9">
        <v>52210</v>
      </c>
      <c r="G9">
        <v>58720.99</v>
      </c>
      <c r="H9">
        <v>0.06</v>
      </c>
      <c r="I9">
        <v>4.3</v>
      </c>
      <c r="J9">
        <v>12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D67C3B-CAE0-412F-A36D-DC4A1643332A}">
  <sheetPr codeName="Hoja4"/>
  <dimension ref="A1:I10"/>
  <sheetViews>
    <sheetView workbookViewId="0">
      <selection activeCell="A2" sqref="A2"/>
    </sheetView>
  </sheetViews>
  <sheetFormatPr baseColWidth="10" defaultRowHeight="15" x14ac:dyDescent="0.25"/>
  <cols>
    <col min="1" max="1" width="18.28515625" customWidth="1"/>
    <col min="2" max="2" width="19.42578125" customWidth="1"/>
    <col min="3" max="3" width="11.5703125" customWidth="1"/>
    <col min="4" max="4" width="13.7109375" customWidth="1"/>
    <col min="5" max="5" width="19" customWidth="1"/>
    <col min="6" max="6" width="18.7109375" customWidth="1"/>
    <col min="7" max="7" width="14.42578125" customWidth="1"/>
    <col min="8" max="8" width="12.42578125" customWidth="1"/>
    <col min="9" max="9" width="20.5703125" customWidth="1"/>
  </cols>
  <sheetData>
    <row r="1" spans="1:9" x14ac:dyDescent="0.25">
      <c r="A1" s="1" t="s">
        <v>169</v>
      </c>
      <c r="B1" s="1" t="s">
        <v>170</v>
      </c>
      <c r="C1" s="1" t="s">
        <v>4</v>
      </c>
      <c r="D1" s="1" t="s">
        <v>171</v>
      </c>
      <c r="E1" s="1" t="s">
        <v>172</v>
      </c>
      <c r="F1" s="1" t="s">
        <v>173</v>
      </c>
      <c r="G1" s="1" t="s">
        <v>174</v>
      </c>
      <c r="H1" s="1" t="s">
        <v>175</v>
      </c>
      <c r="I1" s="1" t="s">
        <v>176</v>
      </c>
    </row>
    <row r="2" spans="1:9" x14ac:dyDescent="0.25">
      <c r="A2" t="s">
        <v>177</v>
      </c>
      <c r="B2" t="s">
        <v>30</v>
      </c>
      <c r="C2" t="s">
        <v>29</v>
      </c>
      <c r="D2">
        <v>1287</v>
      </c>
      <c r="E2">
        <v>908.84</v>
      </c>
      <c r="F2">
        <v>0.29399999999999998</v>
      </c>
      <c r="G2">
        <v>41</v>
      </c>
      <c r="H2" t="s">
        <v>178</v>
      </c>
      <c r="I2">
        <v>6</v>
      </c>
    </row>
    <row r="3" spans="1:9" x14ac:dyDescent="0.25">
      <c r="A3" t="s">
        <v>179</v>
      </c>
      <c r="B3" t="s">
        <v>37</v>
      </c>
      <c r="C3" t="s">
        <v>29</v>
      </c>
      <c r="D3">
        <v>1210</v>
      </c>
      <c r="E3">
        <v>829.29</v>
      </c>
      <c r="F3">
        <v>0.315</v>
      </c>
      <c r="G3">
        <v>41</v>
      </c>
      <c r="H3" t="s">
        <v>178</v>
      </c>
      <c r="I3">
        <v>11</v>
      </c>
    </row>
    <row r="4" spans="1:9" x14ac:dyDescent="0.25">
      <c r="A4" t="s">
        <v>180</v>
      </c>
      <c r="B4" t="s">
        <v>78</v>
      </c>
      <c r="C4" t="s">
        <v>29</v>
      </c>
      <c r="D4">
        <v>1369</v>
      </c>
      <c r="E4">
        <v>896.89</v>
      </c>
      <c r="F4">
        <v>0.34499999999999997</v>
      </c>
      <c r="G4">
        <v>29</v>
      </c>
      <c r="H4" t="s">
        <v>178</v>
      </c>
      <c r="I4">
        <v>14</v>
      </c>
    </row>
    <row r="5" spans="1:9" x14ac:dyDescent="0.25">
      <c r="A5" t="s">
        <v>181</v>
      </c>
      <c r="B5" t="s">
        <v>65</v>
      </c>
      <c r="C5" t="s">
        <v>45</v>
      </c>
      <c r="D5">
        <v>959</v>
      </c>
      <c r="E5">
        <v>657.07</v>
      </c>
      <c r="F5">
        <v>0.315</v>
      </c>
      <c r="G5">
        <v>38</v>
      </c>
      <c r="H5" t="s">
        <v>182</v>
      </c>
      <c r="I5">
        <v>13</v>
      </c>
    </row>
    <row r="6" spans="1:9" x14ac:dyDescent="0.25">
      <c r="A6" t="s">
        <v>183</v>
      </c>
      <c r="B6" t="s">
        <v>56</v>
      </c>
      <c r="C6" t="s">
        <v>45</v>
      </c>
      <c r="D6">
        <v>908</v>
      </c>
      <c r="E6">
        <v>604.25</v>
      </c>
      <c r="F6">
        <v>0.33500000000000002</v>
      </c>
      <c r="G6">
        <v>35</v>
      </c>
      <c r="H6" t="s">
        <v>182</v>
      </c>
      <c r="I6">
        <v>8</v>
      </c>
    </row>
    <row r="7" spans="1:9" x14ac:dyDescent="0.25">
      <c r="A7" t="s">
        <v>184</v>
      </c>
      <c r="B7" t="s">
        <v>46</v>
      </c>
      <c r="C7" t="s">
        <v>45</v>
      </c>
      <c r="D7">
        <v>855</v>
      </c>
      <c r="E7">
        <v>585.67999999999995</v>
      </c>
      <c r="F7">
        <v>0.315</v>
      </c>
      <c r="G7">
        <v>37</v>
      </c>
      <c r="H7" t="s">
        <v>182</v>
      </c>
      <c r="I7">
        <v>10</v>
      </c>
    </row>
    <row r="8" spans="1:9" x14ac:dyDescent="0.25">
      <c r="A8" t="s">
        <v>185</v>
      </c>
      <c r="B8" t="s">
        <v>48</v>
      </c>
      <c r="C8" t="s">
        <v>24</v>
      </c>
      <c r="D8">
        <v>458</v>
      </c>
      <c r="E8">
        <v>332.63</v>
      </c>
      <c r="F8">
        <v>0.27400000000000002</v>
      </c>
      <c r="G8">
        <v>38</v>
      </c>
      <c r="H8" t="s">
        <v>186</v>
      </c>
      <c r="I8">
        <v>8</v>
      </c>
    </row>
    <row r="9" spans="1:9" x14ac:dyDescent="0.25">
      <c r="A9" t="s">
        <v>187</v>
      </c>
      <c r="B9" t="s">
        <v>25</v>
      </c>
      <c r="C9" t="s">
        <v>24</v>
      </c>
      <c r="D9">
        <v>619</v>
      </c>
      <c r="E9">
        <v>454.67</v>
      </c>
      <c r="F9">
        <v>0.26500000000000001</v>
      </c>
      <c r="G9">
        <v>44</v>
      </c>
      <c r="H9" t="s">
        <v>186</v>
      </c>
      <c r="I9">
        <v>14</v>
      </c>
    </row>
    <row r="10" spans="1:9" x14ac:dyDescent="0.25">
      <c r="A10" t="s">
        <v>188</v>
      </c>
      <c r="B10" t="s">
        <v>58</v>
      </c>
      <c r="C10" t="s">
        <v>24</v>
      </c>
      <c r="D10">
        <v>714</v>
      </c>
      <c r="E10">
        <v>512.29</v>
      </c>
      <c r="F10">
        <v>0.28299999999999997</v>
      </c>
      <c r="G10">
        <v>37</v>
      </c>
      <c r="H10" t="s">
        <v>186</v>
      </c>
      <c r="I10">
        <v>5</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B2419-7EBC-4A76-9B4A-7CE0560A9DEA}">
  <sheetPr codeName="Hoja5"/>
  <dimension ref="A1:I49"/>
  <sheetViews>
    <sheetView workbookViewId="0">
      <selection activeCell="A2" sqref="A2"/>
    </sheetView>
  </sheetViews>
  <sheetFormatPr baseColWidth="10" defaultRowHeight="15" x14ac:dyDescent="0.25"/>
  <cols>
    <col min="1" max="1" width="17.7109375" customWidth="1"/>
  </cols>
  <sheetData>
    <row r="1" spans="1:9" x14ac:dyDescent="0.25">
      <c r="A1" s="1" t="s">
        <v>1</v>
      </c>
      <c r="B1" s="1" t="s">
        <v>2</v>
      </c>
      <c r="C1" s="1" t="s">
        <v>189</v>
      </c>
      <c r="D1" s="1" t="s">
        <v>190</v>
      </c>
      <c r="E1" s="1" t="s">
        <v>191</v>
      </c>
      <c r="F1" s="1" t="s">
        <v>192</v>
      </c>
      <c r="G1" s="1" t="s">
        <v>193</v>
      </c>
      <c r="H1" s="1" t="s">
        <v>194</v>
      </c>
      <c r="I1" s="1" t="s">
        <v>195</v>
      </c>
    </row>
    <row r="2" spans="1:9" x14ac:dyDescent="0.25">
      <c r="A2" s="2">
        <v>45292</v>
      </c>
      <c r="B2" t="s">
        <v>22</v>
      </c>
      <c r="C2" t="s">
        <v>196</v>
      </c>
      <c r="D2">
        <v>6988</v>
      </c>
      <c r="E2">
        <v>174700</v>
      </c>
      <c r="F2">
        <v>7841</v>
      </c>
      <c r="G2">
        <v>340</v>
      </c>
      <c r="H2">
        <v>0.89</v>
      </c>
      <c r="I2">
        <v>1.43</v>
      </c>
    </row>
    <row r="3" spans="1:9" x14ac:dyDescent="0.25">
      <c r="A3" s="2">
        <v>45292</v>
      </c>
      <c r="B3" t="s">
        <v>22</v>
      </c>
      <c r="C3" t="s">
        <v>197</v>
      </c>
      <c r="D3">
        <v>3477</v>
      </c>
      <c r="E3">
        <v>66063</v>
      </c>
      <c r="F3">
        <v>2713</v>
      </c>
      <c r="G3">
        <v>123</v>
      </c>
      <c r="H3">
        <v>1.28</v>
      </c>
      <c r="I3">
        <v>0.77</v>
      </c>
    </row>
    <row r="4" spans="1:9" x14ac:dyDescent="0.25">
      <c r="A4" s="2">
        <v>45292</v>
      </c>
      <c r="B4" t="s">
        <v>22</v>
      </c>
      <c r="C4" t="s">
        <v>198</v>
      </c>
      <c r="D4">
        <v>4783</v>
      </c>
      <c r="E4">
        <v>95660</v>
      </c>
      <c r="F4">
        <v>1930</v>
      </c>
      <c r="G4">
        <v>141</v>
      </c>
      <c r="H4">
        <v>2.48</v>
      </c>
      <c r="I4">
        <v>0.47</v>
      </c>
    </row>
    <row r="5" spans="1:9" x14ac:dyDescent="0.25">
      <c r="A5" s="2">
        <v>45292</v>
      </c>
      <c r="B5" t="s">
        <v>22</v>
      </c>
      <c r="C5" t="s">
        <v>199</v>
      </c>
      <c r="D5">
        <v>6639</v>
      </c>
      <c r="E5">
        <v>165975</v>
      </c>
      <c r="F5">
        <v>5315</v>
      </c>
      <c r="G5">
        <v>197</v>
      </c>
      <c r="H5">
        <v>1.25</v>
      </c>
      <c r="I5">
        <v>0.48</v>
      </c>
    </row>
    <row r="6" spans="1:9" x14ac:dyDescent="0.25">
      <c r="A6" s="2">
        <v>45292</v>
      </c>
      <c r="B6" t="s">
        <v>32</v>
      </c>
      <c r="C6" t="s">
        <v>196</v>
      </c>
      <c r="D6">
        <v>7186</v>
      </c>
      <c r="E6">
        <v>107790</v>
      </c>
      <c r="F6">
        <v>2452</v>
      </c>
      <c r="G6">
        <v>138</v>
      </c>
      <c r="H6">
        <v>2.93</v>
      </c>
      <c r="I6">
        <v>-0.04</v>
      </c>
    </row>
    <row r="7" spans="1:9" x14ac:dyDescent="0.25">
      <c r="A7" s="2">
        <v>45292</v>
      </c>
      <c r="B7" t="s">
        <v>32</v>
      </c>
      <c r="C7" t="s">
        <v>197</v>
      </c>
      <c r="D7">
        <v>5081</v>
      </c>
      <c r="E7">
        <v>106701</v>
      </c>
      <c r="F7">
        <v>3586</v>
      </c>
      <c r="G7">
        <v>135</v>
      </c>
      <c r="H7">
        <v>1.42</v>
      </c>
      <c r="I7">
        <v>0.33</v>
      </c>
    </row>
    <row r="8" spans="1:9" x14ac:dyDescent="0.25">
      <c r="A8" s="2">
        <v>45292</v>
      </c>
      <c r="B8" t="s">
        <v>32</v>
      </c>
      <c r="C8" t="s">
        <v>198</v>
      </c>
      <c r="D8">
        <v>4552</v>
      </c>
      <c r="E8">
        <v>91040</v>
      </c>
      <c r="F8">
        <v>3942</v>
      </c>
      <c r="G8">
        <v>230</v>
      </c>
      <c r="H8">
        <v>1.1499999999999999</v>
      </c>
      <c r="I8">
        <v>1.53</v>
      </c>
    </row>
    <row r="9" spans="1:9" x14ac:dyDescent="0.25">
      <c r="A9" s="2">
        <v>45292</v>
      </c>
      <c r="B9" t="s">
        <v>32</v>
      </c>
      <c r="C9" t="s">
        <v>199</v>
      </c>
      <c r="D9">
        <v>2695</v>
      </c>
      <c r="E9">
        <v>40425</v>
      </c>
      <c r="F9">
        <v>997</v>
      </c>
      <c r="G9">
        <v>67</v>
      </c>
      <c r="H9">
        <v>2.7</v>
      </c>
      <c r="I9">
        <v>0.24</v>
      </c>
    </row>
    <row r="10" spans="1:9" x14ac:dyDescent="0.25">
      <c r="A10" s="2">
        <v>45292</v>
      </c>
      <c r="B10" t="s">
        <v>41</v>
      </c>
      <c r="C10" t="s">
        <v>196</v>
      </c>
      <c r="D10">
        <v>2407</v>
      </c>
      <c r="E10">
        <v>60175</v>
      </c>
      <c r="F10">
        <v>1350</v>
      </c>
      <c r="G10">
        <v>70</v>
      </c>
      <c r="H10">
        <v>1.78</v>
      </c>
      <c r="I10">
        <v>0.45</v>
      </c>
    </row>
    <row r="11" spans="1:9" x14ac:dyDescent="0.25">
      <c r="A11" s="2">
        <v>45292</v>
      </c>
      <c r="B11" t="s">
        <v>41</v>
      </c>
      <c r="C11" t="s">
        <v>197</v>
      </c>
      <c r="D11">
        <v>5473</v>
      </c>
      <c r="E11">
        <v>120406</v>
      </c>
      <c r="F11">
        <v>4600</v>
      </c>
      <c r="G11">
        <v>233</v>
      </c>
      <c r="H11">
        <v>1.19</v>
      </c>
      <c r="I11">
        <v>1.1299999999999999</v>
      </c>
    </row>
    <row r="12" spans="1:9" x14ac:dyDescent="0.25">
      <c r="A12" s="2">
        <v>45292</v>
      </c>
      <c r="B12" t="s">
        <v>41</v>
      </c>
      <c r="C12" t="s">
        <v>198</v>
      </c>
      <c r="D12">
        <v>3765</v>
      </c>
      <c r="E12">
        <v>86595</v>
      </c>
      <c r="F12">
        <v>2027</v>
      </c>
      <c r="G12">
        <v>104</v>
      </c>
      <c r="H12">
        <v>1.86</v>
      </c>
      <c r="I12">
        <v>0.38</v>
      </c>
    </row>
    <row r="13" spans="1:9" x14ac:dyDescent="0.25">
      <c r="A13" s="2">
        <v>45292</v>
      </c>
      <c r="B13" t="s">
        <v>41</v>
      </c>
      <c r="C13" t="s">
        <v>199</v>
      </c>
      <c r="D13">
        <v>4320</v>
      </c>
      <c r="E13">
        <v>108000</v>
      </c>
      <c r="F13">
        <v>4358</v>
      </c>
      <c r="G13">
        <v>236</v>
      </c>
      <c r="H13">
        <v>0.99</v>
      </c>
      <c r="I13">
        <v>1.73</v>
      </c>
    </row>
    <row r="14" spans="1:9" x14ac:dyDescent="0.25">
      <c r="A14" s="2">
        <v>45292</v>
      </c>
      <c r="B14" t="s">
        <v>44</v>
      </c>
      <c r="C14" t="s">
        <v>196</v>
      </c>
      <c r="D14">
        <v>7465</v>
      </c>
      <c r="E14">
        <v>141835</v>
      </c>
      <c r="F14">
        <v>3029</v>
      </c>
      <c r="G14">
        <v>150</v>
      </c>
      <c r="H14">
        <v>2.46</v>
      </c>
      <c r="I14">
        <v>0</v>
      </c>
    </row>
    <row r="15" spans="1:9" x14ac:dyDescent="0.25">
      <c r="A15" s="2">
        <v>45292</v>
      </c>
      <c r="B15" t="s">
        <v>44</v>
      </c>
      <c r="C15" t="s">
        <v>197</v>
      </c>
      <c r="D15">
        <v>6909</v>
      </c>
      <c r="E15">
        <v>103635</v>
      </c>
      <c r="F15">
        <v>2096</v>
      </c>
      <c r="G15">
        <v>94</v>
      </c>
      <c r="H15">
        <v>3.3</v>
      </c>
      <c r="I15">
        <v>-0.32</v>
      </c>
    </row>
    <row r="16" spans="1:9" x14ac:dyDescent="0.25">
      <c r="A16" s="2">
        <v>45292</v>
      </c>
      <c r="B16" t="s">
        <v>44</v>
      </c>
      <c r="C16" t="s">
        <v>198</v>
      </c>
      <c r="D16">
        <v>3730</v>
      </c>
      <c r="E16">
        <v>63410</v>
      </c>
      <c r="F16">
        <v>2721</v>
      </c>
      <c r="G16">
        <v>121</v>
      </c>
      <c r="H16">
        <v>1.37</v>
      </c>
      <c r="I16">
        <v>0.62</v>
      </c>
    </row>
    <row r="17" spans="1:9" x14ac:dyDescent="0.25">
      <c r="A17" s="2">
        <v>45292</v>
      </c>
      <c r="B17" t="s">
        <v>44</v>
      </c>
      <c r="C17" t="s">
        <v>199</v>
      </c>
      <c r="D17">
        <v>2982</v>
      </c>
      <c r="E17">
        <v>44730</v>
      </c>
      <c r="F17">
        <v>1562</v>
      </c>
      <c r="G17">
        <v>80</v>
      </c>
      <c r="H17">
        <v>1.91</v>
      </c>
      <c r="I17">
        <v>0.34</v>
      </c>
    </row>
    <row r="18" spans="1:9" x14ac:dyDescent="0.25">
      <c r="A18" s="2">
        <v>45323</v>
      </c>
      <c r="B18" t="s">
        <v>22</v>
      </c>
      <c r="C18" t="s">
        <v>196</v>
      </c>
      <c r="D18">
        <v>3058</v>
      </c>
      <c r="E18">
        <v>64218</v>
      </c>
      <c r="F18">
        <v>2310</v>
      </c>
      <c r="G18">
        <v>95</v>
      </c>
      <c r="H18">
        <v>1.32</v>
      </c>
      <c r="I18">
        <v>0.55000000000000004</v>
      </c>
    </row>
    <row r="19" spans="1:9" x14ac:dyDescent="0.25">
      <c r="A19" s="2">
        <v>45323</v>
      </c>
      <c r="B19" t="s">
        <v>22</v>
      </c>
      <c r="C19" t="s">
        <v>197</v>
      </c>
      <c r="D19">
        <v>6577</v>
      </c>
      <c r="E19">
        <v>164425</v>
      </c>
      <c r="F19">
        <v>7265</v>
      </c>
      <c r="G19">
        <v>244</v>
      </c>
      <c r="H19">
        <v>0.91</v>
      </c>
      <c r="I19">
        <v>0.85</v>
      </c>
    </row>
    <row r="20" spans="1:9" x14ac:dyDescent="0.25">
      <c r="A20" s="2">
        <v>45323</v>
      </c>
      <c r="B20" t="s">
        <v>22</v>
      </c>
      <c r="C20" t="s">
        <v>198</v>
      </c>
      <c r="D20">
        <v>2346</v>
      </c>
      <c r="E20">
        <v>49266</v>
      </c>
      <c r="F20">
        <v>1013</v>
      </c>
      <c r="G20">
        <v>77</v>
      </c>
      <c r="H20">
        <v>2.3199999999999998</v>
      </c>
      <c r="I20">
        <v>0.64</v>
      </c>
    </row>
    <row r="21" spans="1:9" x14ac:dyDescent="0.25">
      <c r="A21" s="2">
        <v>45323</v>
      </c>
      <c r="B21" t="s">
        <v>22</v>
      </c>
      <c r="C21" t="s">
        <v>199</v>
      </c>
      <c r="D21">
        <v>4564</v>
      </c>
      <c r="E21">
        <v>109536</v>
      </c>
      <c r="F21">
        <v>3601</v>
      </c>
      <c r="G21">
        <v>180</v>
      </c>
      <c r="H21">
        <v>1.27</v>
      </c>
      <c r="I21">
        <v>0.97</v>
      </c>
    </row>
    <row r="22" spans="1:9" x14ac:dyDescent="0.25">
      <c r="A22" s="2">
        <v>45323</v>
      </c>
      <c r="B22" t="s">
        <v>32</v>
      </c>
      <c r="C22" t="s">
        <v>196</v>
      </c>
      <c r="D22">
        <v>7244</v>
      </c>
      <c r="E22">
        <v>152124</v>
      </c>
      <c r="F22">
        <v>4363</v>
      </c>
      <c r="G22">
        <v>219</v>
      </c>
      <c r="H22">
        <v>1.66</v>
      </c>
      <c r="I22">
        <v>0.51</v>
      </c>
    </row>
    <row r="23" spans="1:9" x14ac:dyDescent="0.25">
      <c r="A23" s="2">
        <v>45323</v>
      </c>
      <c r="B23" t="s">
        <v>32</v>
      </c>
      <c r="C23" t="s">
        <v>197</v>
      </c>
      <c r="D23">
        <v>4660</v>
      </c>
      <c r="E23">
        <v>79220</v>
      </c>
      <c r="F23">
        <v>3488</v>
      </c>
      <c r="G23">
        <v>212</v>
      </c>
      <c r="H23">
        <v>1.34</v>
      </c>
      <c r="I23">
        <v>1.27</v>
      </c>
    </row>
    <row r="24" spans="1:9" x14ac:dyDescent="0.25">
      <c r="A24" s="2">
        <v>45323</v>
      </c>
      <c r="B24" t="s">
        <v>32</v>
      </c>
      <c r="C24" t="s">
        <v>198</v>
      </c>
      <c r="D24">
        <v>7649</v>
      </c>
      <c r="E24">
        <v>152980</v>
      </c>
      <c r="F24">
        <v>3464</v>
      </c>
      <c r="G24">
        <v>250</v>
      </c>
      <c r="H24">
        <v>2.21</v>
      </c>
      <c r="I24">
        <v>0.63</v>
      </c>
    </row>
    <row r="25" spans="1:9" x14ac:dyDescent="0.25">
      <c r="A25" s="2">
        <v>45323</v>
      </c>
      <c r="B25" t="s">
        <v>32</v>
      </c>
      <c r="C25" t="s">
        <v>199</v>
      </c>
      <c r="D25">
        <v>3993</v>
      </c>
      <c r="E25">
        <v>83853</v>
      </c>
      <c r="F25">
        <v>3158</v>
      </c>
      <c r="G25">
        <v>177</v>
      </c>
      <c r="H25">
        <v>1.26</v>
      </c>
      <c r="I25">
        <v>1.22</v>
      </c>
    </row>
    <row r="26" spans="1:9" x14ac:dyDescent="0.25">
      <c r="A26" s="2">
        <v>45323</v>
      </c>
      <c r="B26" t="s">
        <v>41</v>
      </c>
      <c r="C26" t="s">
        <v>196</v>
      </c>
      <c r="D26">
        <v>5242</v>
      </c>
      <c r="E26">
        <v>99598</v>
      </c>
      <c r="F26">
        <v>4220</v>
      </c>
      <c r="G26">
        <v>173</v>
      </c>
      <c r="H26">
        <v>1.24</v>
      </c>
      <c r="I26">
        <v>0.65</v>
      </c>
    </row>
    <row r="27" spans="1:9" x14ac:dyDescent="0.25">
      <c r="A27" s="2">
        <v>45323</v>
      </c>
      <c r="B27" t="s">
        <v>41</v>
      </c>
      <c r="C27" t="s">
        <v>197</v>
      </c>
      <c r="D27">
        <v>3377</v>
      </c>
      <c r="E27">
        <v>54032</v>
      </c>
      <c r="F27">
        <v>1908</v>
      </c>
      <c r="G27">
        <v>68</v>
      </c>
      <c r="H27">
        <v>1.77</v>
      </c>
      <c r="I27">
        <v>0.01</v>
      </c>
    </row>
    <row r="28" spans="1:9" x14ac:dyDescent="0.25">
      <c r="A28" s="2">
        <v>45323</v>
      </c>
      <c r="B28" t="s">
        <v>41</v>
      </c>
      <c r="C28" t="s">
        <v>198</v>
      </c>
      <c r="D28">
        <v>6177</v>
      </c>
      <c r="E28">
        <v>111186</v>
      </c>
      <c r="F28">
        <v>5245</v>
      </c>
      <c r="G28">
        <v>248</v>
      </c>
      <c r="H28">
        <v>1.18</v>
      </c>
      <c r="I28">
        <v>1.01</v>
      </c>
    </row>
    <row r="29" spans="1:9" x14ac:dyDescent="0.25">
      <c r="A29" s="2">
        <v>45323</v>
      </c>
      <c r="B29" t="s">
        <v>41</v>
      </c>
      <c r="C29" t="s">
        <v>199</v>
      </c>
      <c r="D29">
        <v>7958</v>
      </c>
      <c r="E29">
        <v>198950</v>
      </c>
      <c r="F29">
        <v>8843</v>
      </c>
      <c r="G29">
        <v>369</v>
      </c>
      <c r="H29">
        <v>0.9</v>
      </c>
      <c r="I29">
        <v>1.32</v>
      </c>
    </row>
    <row r="30" spans="1:9" x14ac:dyDescent="0.25">
      <c r="A30" s="2">
        <v>45323</v>
      </c>
      <c r="B30" t="s">
        <v>44</v>
      </c>
      <c r="C30" t="s">
        <v>196</v>
      </c>
      <c r="D30">
        <v>3199</v>
      </c>
      <c r="E30">
        <v>60781</v>
      </c>
      <c r="F30">
        <v>1575</v>
      </c>
      <c r="G30">
        <v>94</v>
      </c>
      <c r="H30">
        <v>2.0299999999999998</v>
      </c>
      <c r="I30">
        <v>0.47</v>
      </c>
    </row>
    <row r="31" spans="1:9" x14ac:dyDescent="0.25">
      <c r="A31" s="2">
        <v>45323</v>
      </c>
      <c r="B31" t="s">
        <v>44</v>
      </c>
      <c r="C31" t="s">
        <v>197</v>
      </c>
      <c r="D31">
        <v>7369</v>
      </c>
      <c r="E31">
        <v>117904</v>
      </c>
      <c r="F31">
        <v>2984</v>
      </c>
      <c r="G31">
        <v>204</v>
      </c>
      <c r="H31">
        <v>2.4700000000000002</v>
      </c>
      <c r="I31">
        <v>0.38</v>
      </c>
    </row>
    <row r="32" spans="1:9" x14ac:dyDescent="0.25">
      <c r="A32" s="2">
        <v>45323</v>
      </c>
      <c r="B32" t="s">
        <v>44</v>
      </c>
      <c r="C32" t="s">
        <v>198</v>
      </c>
      <c r="D32">
        <v>6047</v>
      </c>
      <c r="E32">
        <v>133034</v>
      </c>
      <c r="F32">
        <v>5671</v>
      </c>
      <c r="G32">
        <v>385</v>
      </c>
      <c r="H32">
        <v>1.07</v>
      </c>
      <c r="I32">
        <v>2.1800000000000002</v>
      </c>
    </row>
    <row r="33" spans="1:9" x14ac:dyDescent="0.25">
      <c r="A33" s="2">
        <v>45323</v>
      </c>
      <c r="B33" t="s">
        <v>44</v>
      </c>
      <c r="C33" t="s">
        <v>199</v>
      </c>
      <c r="D33">
        <v>5677</v>
      </c>
      <c r="E33">
        <v>141925</v>
      </c>
      <c r="F33">
        <v>6773</v>
      </c>
      <c r="G33">
        <v>394</v>
      </c>
      <c r="H33">
        <v>0.84</v>
      </c>
      <c r="I33">
        <v>2.4700000000000002</v>
      </c>
    </row>
    <row r="34" spans="1:9" x14ac:dyDescent="0.25">
      <c r="A34" s="2">
        <v>45352</v>
      </c>
      <c r="B34" t="s">
        <v>22</v>
      </c>
      <c r="C34" t="s">
        <v>196</v>
      </c>
      <c r="D34">
        <v>7204</v>
      </c>
      <c r="E34">
        <v>172896</v>
      </c>
      <c r="F34">
        <v>5134</v>
      </c>
      <c r="G34">
        <v>403</v>
      </c>
      <c r="H34">
        <v>1.4</v>
      </c>
      <c r="I34">
        <v>1.8</v>
      </c>
    </row>
    <row r="35" spans="1:9" x14ac:dyDescent="0.25">
      <c r="A35" s="2">
        <v>45352</v>
      </c>
      <c r="B35" t="s">
        <v>22</v>
      </c>
      <c r="C35" t="s">
        <v>197</v>
      </c>
      <c r="D35">
        <v>4589</v>
      </c>
      <c r="E35">
        <v>78013</v>
      </c>
      <c r="F35">
        <v>2589</v>
      </c>
      <c r="G35">
        <v>138</v>
      </c>
      <c r="H35">
        <v>1.77</v>
      </c>
      <c r="I35">
        <v>0.5</v>
      </c>
    </row>
    <row r="36" spans="1:9" x14ac:dyDescent="0.25">
      <c r="A36" s="2">
        <v>45352</v>
      </c>
      <c r="B36" t="s">
        <v>22</v>
      </c>
      <c r="C36" t="s">
        <v>198</v>
      </c>
      <c r="D36">
        <v>7172</v>
      </c>
      <c r="E36">
        <v>136268</v>
      </c>
      <c r="F36">
        <v>5980</v>
      </c>
      <c r="G36">
        <v>356</v>
      </c>
      <c r="H36">
        <v>1.2</v>
      </c>
      <c r="I36">
        <v>1.48</v>
      </c>
    </row>
    <row r="37" spans="1:9" x14ac:dyDescent="0.25">
      <c r="A37" s="2">
        <v>45352</v>
      </c>
      <c r="B37" t="s">
        <v>22</v>
      </c>
      <c r="C37" t="s">
        <v>199</v>
      </c>
      <c r="D37">
        <v>4883</v>
      </c>
      <c r="E37">
        <v>112309</v>
      </c>
      <c r="F37">
        <v>2496</v>
      </c>
      <c r="G37">
        <v>132</v>
      </c>
      <c r="H37">
        <v>1.96</v>
      </c>
      <c r="I37">
        <v>0.35</v>
      </c>
    </row>
    <row r="38" spans="1:9" x14ac:dyDescent="0.25">
      <c r="A38" s="2">
        <v>45352</v>
      </c>
      <c r="B38" t="s">
        <v>32</v>
      </c>
      <c r="C38" t="s">
        <v>196</v>
      </c>
      <c r="D38">
        <v>2308</v>
      </c>
      <c r="E38">
        <v>34620</v>
      </c>
      <c r="F38">
        <v>1075</v>
      </c>
      <c r="G38">
        <v>47</v>
      </c>
      <c r="H38">
        <v>2.15</v>
      </c>
      <c r="I38">
        <v>0.02</v>
      </c>
    </row>
    <row r="39" spans="1:9" x14ac:dyDescent="0.25">
      <c r="A39" s="2">
        <v>45352</v>
      </c>
      <c r="B39" t="s">
        <v>32</v>
      </c>
      <c r="C39" t="s">
        <v>197</v>
      </c>
      <c r="D39">
        <v>7281</v>
      </c>
      <c r="E39">
        <v>116496</v>
      </c>
      <c r="F39">
        <v>4479</v>
      </c>
      <c r="G39">
        <v>247</v>
      </c>
      <c r="H39">
        <v>1.63</v>
      </c>
      <c r="I39">
        <v>0.7</v>
      </c>
    </row>
    <row r="40" spans="1:9" x14ac:dyDescent="0.25">
      <c r="A40" s="2">
        <v>45352</v>
      </c>
      <c r="B40" t="s">
        <v>32</v>
      </c>
      <c r="C40" t="s">
        <v>198</v>
      </c>
      <c r="D40">
        <v>5790</v>
      </c>
      <c r="E40">
        <v>138960</v>
      </c>
      <c r="F40">
        <v>5090</v>
      </c>
      <c r="G40">
        <v>354</v>
      </c>
      <c r="H40">
        <v>1.1399999999999999</v>
      </c>
      <c r="I40">
        <v>2.06</v>
      </c>
    </row>
    <row r="41" spans="1:9" x14ac:dyDescent="0.25">
      <c r="A41" s="2">
        <v>45352</v>
      </c>
      <c r="B41" t="s">
        <v>32</v>
      </c>
      <c r="C41" t="s">
        <v>199</v>
      </c>
      <c r="D41">
        <v>2336</v>
      </c>
      <c r="E41">
        <v>51392</v>
      </c>
      <c r="F41">
        <v>2429</v>
      </c>
      <c r="G41">
        <v>142</v>
      </c>
      <c r="H41">
        <v>0.96</v>
      </c>
      <c r="I41">
        <v>2.04</v>
      </c>
    </row>
    <row r="42" spans="1:9" x14ac:dyDescent="0.25">
      <c r="A42" s="2">
        <v>45352</v>
      </c>
      <c r="B42" t="s">
        <v>41</v>
      </c>
      <c r="C42" t="s">
        <v>196</v>
      </c>
      <c r="D42">
        <v>3542</v>
      </c>
      <c r="E42">
        <v>70840</v>
      </c>
      <c r="F42">
        <v>2702</v>
      </c>
      <c r="G42">
        <v>148</v>
      </c>
      <c r="H42">
        <v>1.31</v>
      </c>
      <c r="I42">
        <v>1.0900000000000001</v>
      </c>
    </row>
    <row r="43" spans="1:9" x14ac:dyDescent="0.25">
      <c r="A43" s="2">
        <v>45352</v>
      </c>
      <c r="B43" t="s">
        <v>41</v>
      </c>
      <c r="C43" t="s">
        <v>197</v>
      </c>
      <c r="D43">
        <v>2506</v>
      </c>
      <c r="E43">
        <v>55132</v>
      </c>
      <c r="F43">
        <v>1273</v>
      </c>
      <c r="G43">
        <v>95</v>
      </c>
      <c r="H43">
        <v>1.97</v>
      </c>
      <c r="I43">
        <v>0.9</v>
      </c>
    </row>
    <row r="44" spans="1:9" x14ac:dyDescent="0.25">
      <c r="A44" s="2">
        <v>45352</v>
      </c>
      <c r="B44" t="s">
        <v>41</v>
      </c>
      <c r="C44" t="s">
        <v>198</v>
      </c>
      <c r="D44">
        <v>4813</v>
      </c>
      <c r="E44">
        <v>77008</v>
      </c>
      <c r="F44">
        <v>2705</v>
      </c>
      <c r="G44">
        <v>104</v>
      </c>
      <c r="H44">
        <v>1.78</v>
      </c>
      <c r="I44">
        <v>0.08</v>
      </c>
    </row>
    <row r="45" spans="1:9" x14ac:dyDescent="0.25">
      <c r="A45" s="2">
        <v>45352</v>
      </c>
      <c r="B45" t="s">
        <v>41</v>
      </c>
      <c r="C45" t="s">
        <v>199</v>
      </c>
      <c r="D45">
        <v>4029</v>
      </c>
      <c r="E45">
        <v>88638</v>
      </c>
      <c r="F45">
        <v>4407</v>
      </c>
      <c r="G45">
        <v>247</v>
      </c>
      <c r="H45">
        <v>0.91</v>
      </c>
      <c r="I45">
        <v>2.0699999999999998</v>
      </c>
    </row>
    <row r="46" spans="1:9" x14ac:dyDescent="0.25">
      <c r="A46" s="2">
        <v>45352</v>
      </c>
      <c r="B46" t="s">
        <v>44</v>
      </c>
      <c r="C46" t="s">
        <v>196</v>
      </c>
      <c r="D46">
        <v>6995</v>
      </c>
      <c r="E46">
        <v>118915</v>
      </c>
      <c r="F46">
        <v>3676</v>
      </c>
      <c r="G46">
        <v>278</v>
      </c>
      <c r="H46">
        <v>1.9</v>
      </c>
      <c r="I46">
        <v>0.99</v>
      </c>
    </row>
    <row r="47" spans="1:9" x14ac:dyDescent="0.25">
      <c r="A47" s="2">
        <v>45352</v>
      </c>
      <c r="B47" t="s">
        <v>44</v>
      </c>
      <c r="C47" t="s">
        <v>197</v>
      </c>
      <c r="D47">
        <v>5173</v>
      </c>
      <c r="E47">
        <v>108633</v>
      </c>
      <c r="F47">
        <v>4696</v>
      </c>
      <c r="G47">
        <v>300</v>
      </c>
      <c r="H47">
        <v>1.1000000000000001</v>
      </c>
      <c r="I47">
        <v>1.9</v>
      </c>
    </row>
    <row r="48" spans="1:9" x14ac:dyDescent="0.25">
      <c r="A48" s="2">
        <v>45352</v>
      </c>
      <c r="B48" t="s">
        <v>44</v>
      </c>
      <c r="C48" t="s">
        <v>198</v>
      </c>
      <c r="D48">
        <v>2428</v>
      </c>
      <c r="E48">
        <v>60700</v>
      </c>
      <c r="F48">
        <v>2392</v>
      </c>
      <c r="G48">
        <v>79</v>
      </c>
      <c r="H48">
        <v>1.02</v>
      </c>
      <c r="I48">
        <v>0.63</v>
      </c>
    </row>
    <row r="49" spans="1:9" x14ac:dyDescent="0.25">
      <c r="A49" s="2">
        <v>45352</v>
      </c>
      <c r="B49" t="s">
        <v>44</v>
      </c>
      <c r="C49" t="s">
        <v>199</v>
      </c>
      <c r="D49">
        <v>2774</v>
      </c>
      <c r="E49">
        <v>63802</v>
      </c>
      <c r="F49">
        <v>2574</v>
      </c>
      <c r="G49">
        <v>113</v>
      </c>
      <c r="H49">
        <v>1.08</v>
      </c>
      <c r="I49">
        <v>1.04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F30DE7-1EED-4192-823B-A1FCC89A1728}">
  <sheetPr codeName="Hoja6"/>
  <dimension ref="A1:E2"/>
  <sheetViews>
    <sheetView workbookViewId="0"/>
  </sheetViews>
  <sheetFormatPr baseColWidth="10" defaultRowHeight="15" x14ac:dyDescent="0.25"/>
  <sheetData>
    <row r="1" spans="1:5" x14ac:dyDescent="0.25">
      <c r="A1" t="s">
        <v>2</v>
      </c>
      <c r="B1" t="s">
        <v>9</v>
      </c>
      <c r="D1" t="s">
        <v>12</v>
      </c>
      <c r="E1" t="s">
        <v>13</v>
      </c>
    </row>
    <row r="2" spans="1:5" x14ac:dyDescent="0.25">
      <c r="A2" t="s">
        <v>22</v>
      </c>
      <c r="B2" t="s">
        <v>203</v>
      </c>
      <c r="D2" t="s">
        <v>205</v>
      </c>
      <c r="E2" t="s">
        <v>204</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E75E5F-39B9-49EF-A4F2-2C33963F76DE}">
  <sheetPr codeName="Hoja7"/>
  <dimension ref="A1:I21"/>
  <sheetViews>
    <sheetView workbookViewId="0">
      <selection activeCell="J5" sqref="J5"/>
    </sheetView>
  </sheetViews>
  <sheetFormatPr baseColWidth="10" defaultRowHeight="15" x14ac:dyDescent="0.25"/>
  <cols>
    <col min="1" max="1" width="19.28515625" customWidth="1"/>
    <col min="2" max="2" width="15.42578125" style="3" customWidth="1"/>
    <col min="3" max="3" width="18.7109375" customWidth="1"/>
    <col min="4" max="4" width="16.85546875" customWidth="1"/>
    <col min="5" max="5" width="14.42578125" customWidth="1"/>
    <col min="6" max="6" width="9.28515625" customWidth="1"/>
  </cols>
  <sheetData>
    <row r="1" spans="1:9" x14ac:dyDescent="0.25">
      <c r="A1" s="12" t="s">
        <v>2</v>
      </c>
      <c r="B1" s="13" t="s">
        <v>238</v>
      </c>
      <c r="C1" s="12" t="s">
        <v>239</v>
      </c>
      <c r="D1" s="12" t="s">
        <v>240</v>
      </c>
      <c r="E1" s="12" t="s">
        <v>241</v>
      </c>
      <c r="F1" s="12" t="s">
        <v>242</v>
      </c>
      <c r="G1" s="12" t="s">
        <v>207</v>
      </c>
      <c r="H1" s="12" t="s">
        <v>243</v>
      </c>
      <c r="I1" s="12" t="s">
        <v>244</v>
      </c>
    </row>
    <row r="2" spans="1:9" x14ac:dyDescent="0.25">
      <c r="A2" t="s">
        <v>22</v>
      </c>
      <c r="B2" s="3">
        <f>COUNTIF(Datos_Ventas_Completos!C:C,"Norte")</f>
        <v>26</v>
      </c>
      <c r="C2" s="15">
        <f>AVERAGEIF(Datos_Ventas_Completos!C:C,"Norte",Datos_Ventas_Completos!J:J)</f>
        <v>2464.8076923076919</v>
      </c>
      <c r="D2" cm="1">
        <f t="array" ref="D2">MEDIAN(_xlfn._xlws.FILTER(Datos_Ventas_Completos!J:J,Datos_Ventas_Completos!C:C="Norte"))</f>
        <v>2349.6</v>
      </c>
      <c r="E2" s="15" cm="1">
        <f t="array" ref="E2">_xlfn.STDEV.S(_xlfn._xlws.FILTER(Datos_Ventas_Completos!J:J,Datos_Ventas_Completos!C:C="Norte"))</f>
        <v>1526.409941640339</v>
      </c>
      <c r="F2" s="14">
        <f>E2/C2</f>
        <v>0.61928155547552188</v>
      </c>
      <c r="G2" cm="1">
        <f t="array" ref="G2">_xlfn.QUARTILE.INC(_xlfn._xlws.FILTER(Datos_Ventas_Completos!J:J,Datos_Ventas_Completos!C:C="Norte"),1)</f>
        <v>1137</v>
      </c>
      <c r="H2" s="15" cm="1">
        <f t="array" ref="H2">_xlfn.QUARTILE.INC(_xlfn._xlws.FILTER(Datos_Ventas_Completos!J:J,Datos_Ventas_Completos!C:C="Norte"),3)</f>
        <v>3409.3874999999998</v>
      </c>
      <c r="I2" s="15">
        <f>H2-G2</f>
        <v>2272.3874999999998</v>
      </c>
    </row>
    <row r="3" spans="1:9" x14ac:dyDescent="0.25">
      <c r="A3" t="s">
        <v>32</v>
      </c>
      <c r="B3" s="3">
        <f>COUNTIF(Datos_Ventas_Completos!C:C,"Sur")</f>
        <v>24</v>
      </c>
      <c r="C3" s="15">
        <f>AVERAGEIF(Datos_Ventas_Completos!C:C,"sUR",Datos_Ventas_Completos!J:J)</f>
        <v>2430.9375000000005</v>
      </c>
      <c r="D3" cm="1">
        <f t="array" ref="D3">MEDIAN(_xlfn._xlws.FILTER(Datos_Ventas_Completos!J:J,Datos_Ventas_Completos!C:C="Sur"))</f>
        <v>1879</v>
      </c>
      <c r="E3" s="15" cm="1">
        <f t="array" ref="E3">_xlfn.STDEV.S(_xlfn._xlws.FILTER(Datos_Ventas_Completos!J:J,Datos_Ventas_Completos!C:C="Sur"))</f>
        <v>1483.5341954888606</v>
      </c>
      <c r="F3" s="14">
        <f t="shared" ref="F3:F5" si="0">E3/C3</f>
        <v>0.61027245475824055</v>
      </c>
      <c r="G3" s="15" cm="1">
        <f t="array" ref="G3">_xlfn.QUARTILE.INC(_xlfn._xlws.FILTER(Datos_Ventas_Completos!J:J,Datos_Ventas_Completos!C:C="Sur"),1)</f>
        <v>1326.3625</v>
      </c>
      <c r="H3" cm="1">
        <f t="array" ref="H3">_xlfn.QUARTILE.INC(_xlfn._xlws.FILTER(Datos_Ventas_Completos!J:J,Datos_Ventas_Completos!C:C="Sur"),3)</f>
        <v>3503</v>
      </c>
      <c r="I3" s="15">
        <f t="shared" ref="I3:I5" si="1">H3-G3</f>
        <v>2176.6374999999998</v>
      </c>
    </row>
    <row r="4" spans="1:9" x14ac:dyDescent="0.25">
      <c r="A4" t="s">
        <v>41</v>
      </c>
      <c r="B4" s="3">
        <f>COUNTIF(Datos_Ventas_Completos!C:C,"Este")</f>
        <v>22</v>
      </c>
      <c r="C4" s="15">
        <f>AVERAGEIF(Datos_Ventas_Completos!C:C,"Este",Datos_Ventas_Completos!J:J)</f>
        <v>2615.6613636363636</v>
      </c>
      <c r="D4" cm="1">
        <f t="array" ref="D4">MEDIAN(_xlfn._xlws.FILTER(Datos_Ventas_Completos!J:J,Datos_Ventas_Completos!C:C="Este"))</f>
        <v>2615.3999999999996</v>
      </c>
      <c r="E4" s="15" cm="1">
        <f t="array" ref="E4">_xlfn.STDEV.S(_xlfn._xlws.FILTER(Datos_Ventas_Completos!J:J,Datos_Ventas_Completos!C:C="Este"))</f>
        <v>1292.0817203747695</v>
      </c>
      <c r="F4" s="14">
        <f t="shared" si="0"/>
        <v>0.49397897538941443</v>
      </c>
      <c r="G4" cm="1">
        <f t="array" ref="G4">_xlfn.QUARTILE.INC(_xlfn._xlws.FILTER(Datos_Ventas_Completos!J:J,Datos_Ventas_Completos!C:C="Este"),1)</f>
        <v>1678.6499999999999</v>
      </c>
      <c r="H4" s="15" cm="1">
        <f t="array" ref="H4">_xlfn.QUARTILE.INC(_xlfn._xlws.FILTER(Datos_Ventas_Completos!J:J,Datos_Ventas_Completos!C:C="Este"),3)</f>
        <v>3298.5749999999998</v>
      </c>
      <c r="I4" s="15">
        <f t="shared" si="1"/>
        <v>1619.925</v>
      </c>
    </row>
    <row r="5" spans="1:9" x14ac:dyDescent="0.25">
      <c r="A5" t="s">
        <v>44</v>
      </c>
      <c r="B5" s="3">
        <f>COUNTIF(Datos_Ventas_Completos!C:C,"Oeste")</f>
        <v>28</v>
      </c>
      <c r="C5" s="15">
        <f>AVERAGEIF(Datos_Ventas_Completos!C:C,"Oeste",Datos_Ventas_Completos!J:J)</f>
        <v>2698.4874999999997</v>
      </c>
      <c r="D5" cm="1">
        <f t="array" ref="D5">MEDIAN(_xlfn._xlws.FILTER(Datos_Ventas_Completos!J:J,Datos_Ventas_Completos!C:C="Oeste"))</f>
        <v>2767.5</v>
      </c>
      <c r="E5" s="15" cm="1">
        <f t="array" ref="E5">_xlfn.STDEV.S(_xlfn._xlws.FILTER(Datos_Ventas_Completos!J:J,Datos_Ventas_Completos!C:C="Oeste"))</f>
        <v>1393.1229955288582</v>
      </c>
      <c r="F5" s="14">
        <f t="shared" si="0"/>
        <v>0.51626068141092307</v>
      </c>
      <c r="G5" cm="1">
        <f t="array" ref="G5">_xlfn.QUARTILE.INC(_xlfn._xlws.FILTER(Datos_Ventas_Completos!J:J,Datos_Ventas_Completos!C:C="Oeste"),1)</f>
        <v>1726.4</v>
      </c>
      <c r="H5" cm="1">
        <f t="array" ref="H5">_xlfn.QUARTILE.INC(_xlfn._xlws.FILTER(Datos_Ventas_Completos!J:J,Datos_Ventas_Completos!C:C="Oeste"),3)</f>
        <v>3393.8</v>
      </c>
      <c r="I5" s="15">
        <f t="shared" si="1"/>
        <v>1667.4</v>
      </c>
    </row>
    <row r="7" spans="1:9" x14ac:dyDescent="0.25">
      <c r="A7" s="11" t="s">
        <v>250</v>
      </c>
    </row>
    <row r="8" spans="1:9" x14ac:dyDescent="0.25">
      <c r="A8" s="20"/>
      <c r="B8" s="21" t="s">
        <v>9</v>
      </c>
      <c r="C8" s="22" t="s">
        <v>12</v>
      </c>
      <c r="D8" s="22" t="s">
        <v>13</v>
      </c>
      <c r="E8" s="22" t="s">
        <v>7</v>
      </c>
      <c r="F8" s="22" t="s">
        <v>8</v>
      </c>
      <c r="G8" s="22" t="s">
        <v>14</v>
      </c>
    </row>
    <row r="9" spans="1:9" x14ac:dyDescent="0.25">
      <c r="A9" t="s">
        <v>9</v>
      </c>
      <c r="B9" s="3">
        <f>CORREL(Datos_Ventas_Completos!J:J,Datos_Ventas_Completos!J:J)</f>
        <v>1.0000000000000002</v>
      </c>
      <c r="C9" s="17">
        <f>CORREL(Datos_Ventas_Completos!J:J,Datos_Ventas_Completos!M:M)</f>
        <v>-0.13513512453365803</v>
      </c>
      <c r="D9" s="17">
        <f>CORREL(Datos_Ventas_Completos!J:J,Datos_Ventas_Completos!N:N)</f>
        <v>-1.8760844688228254E-2</v>
      </c>
      <c r="E9" s="17">
        <f>CORREL(Datos_Ventas_Completos!J:J,Datos_Ventas_Completos!H:H)</f>
        <v>0.57372858319731757</v>
      </c>
      <c r="F9" s="17">
        <f>CORREL(Datos_Ventas_Completos!J:J,Datos_Ventas_Completos!I:I)</f>
        <v>0.75392663187645392</v>
      </c>
      <c r="G9" s="17">
        <f>CORREL(Datos_Ventas_Completos!J:J,Datos_Ventas_Completos!O:O)</f>
        <v>-5.3873172830899867E-2</v>
      </c>
    </row>
    <row r="10" spans="1:9" x14ac:dyDescent="0.25">
      <c r="A10" t="s">
        <v>12</v>
      </c>
      <c r="B10" s="17">
        <f>CORREL(Datos_Ventas_Completos!M:M,Datos_Ventas_Completos!J:J)</f>
        <v>-0.13513512453365803</v>
      </c>
      <c r="C10" s="3">
        <f>CORREL(Datos_Ventas_Completos!M:M,Datos_Ventas_Completos!M:M)</f>
        <v>1</v>
      </c>
      <c r="D10" s="17">
        <f>CORREL(Datos_Ventas_Completos!M:M,Datos_Ventas_Completos!N:N)</f>
        <v>-5.5356740666634902E-2</v>
      </c>
      <c r="E10" s="17">
        <f>CORREL(Datos_Ventas_Completos!M:M,Datos_Ventas_Completos!H:H)</f>
        <v>5.6402918444848921E-3</v>
      </c>
      <c r="F10" s="17">
        <f>CORREL(Datos_Ventas_Completos!M:M,Datos_Ventas_Completos!I:I)</f>
        <v>-0.17440222037171746</v>
      </c>
      <c r="G10" s="17">
        <f>CORREL(Datos_Ventas_Completos!M:M,Datos_Ventas_Completos!O:O)</f>
        <v>2.7019816250011219E-2</v>
      </c>
    </row>
    <row r="11" spans="1:9" x14ac:dyDescent="0.25">
      <c r="A11" t="s">
        <v>13</v>
      </c>
      <c r="B11" s="17">
        <f>CORREL(Datos_Ventas_Completos!N:N,Datos_Ventas_Completos!J:J)</f>
        <v>-1.8760844688228254E-2</v>
      </c>
      <c r="C11" s="17">
        <f>CORREL(Datos_Ventas_Completos!N:N,Datos_Ventas_Completos!M:M)</f>
        <v>-5.5356740666634902E-2</v>
      </c>
      <c r="D11" s="18">
        <f>CORREL(Datos_Ventas_Completos!N:N,Datos_Ventas_Completos!N:N)</f>
        <v>1</v>
      </c>
      <c r="E11" s="17">
        <f>CORREL(Datos_Ventas_Completos!N:N,Datos_Ventas_Completos!H:H)</f>
        <v>-1.4948043614240562E-2</v>
      </c>
      <c r="F11" s="17">
        <f>CORREL(Datos_Ventas_Completos!N:N,Datos_Ventas_Completos!I:I)</f>
        <v>-3.4115888922278015E-2</v>
      </c>
      <c r="G11" s="17">
        <f>CORREL(Datos_Ventas_Completos!N:N,Datos_Ventas_Completos!O:O)</f>
        <v>6.9221009349922619E-2</v>
      </c>
    </row>
    <row r="12" spans="1:9" x14ac:dyDescent="0.25">
      <c r="A12" t="s">
        <v>7</v>
      </c>
      <c r="B12" s="17">
        <f>CORREL(Datos_Ventas_Completos!H:H,Datos_Ventas_Completos!J:J)</f>
        <v>0.57372858319731757</v>
      </c>
      <c r="C12" s="17">
        <f>CORREL(Datos_Ventas_Completos!H:H,Datos_Ventas_Completos!M:M)</f>
        <v>5.6402918444848921E-3</v>
      </c>
      <c r="D12" s="17">
        <f>CORREL(Datos_Ventas_Completos!H:H,Datos_Ventas_Completos!N:N)</f>
        <v>-1.4948043614240562E-2</v>
      </c>
      <c r="E12" s="3">
        <f>CORREL(Datos_Ventas_Completos!H:H,Datos_Ventas_Completos!H:H)</f>
        <v>1</v>
      </c>
      <c r="F12" s="17">
        <f>CORREL(Datos_Ventas_Completos!H:H,Datos_Ventas_Completos!I:I)</f>
        <v>-3.5293578959410009E-2</v>
      </c>
      <c r="G12" s="17">
        <f>CORREL(Datos_Ventas_Completos!H:H,Datos_Ventas_Completos!O:O)</f>
        <v>0.16840811298686162</v>
      </c>
    </row>
    <row r="13" spans="1:9" x14ac:dyDescent="0.25">
      <c r="A13" t="s">
        <v>8</v>
      </c>
      <c r="B13" s="17">
        <f>CORREL(Datos_Ventas_Completos!I:I,Datos_Ventas_Completos!J:J)</f>
        <v>0.75392663187645392</v>
      </c>
      <c r="C13" s="17">
        <f>CORREL(Datos_Ventas_Completos!I:I,Datos_Ventas_Completos!M:M)</f>
        <v>-0.17440222037171746</v>
      </c>
      <c r="D13" s="17">
        <f>CORREL(Datos_Ventas_Completos!I:I,Datos_Ventas_Completos!N:N)</f>
        <v>-3.4115888922278015E-2</v>
      </c>
      <c r="E13" s="17">
        <f>CORREL(Datos_Ventas_Completos!I:I,Datos_Ventas_Completos!H:H)</f>
        <v>-3.5293578959410009E-2</v>
      </c>
      <c r="F13" s="3">
        <f>CORREL(Datos_Ventas_Completos!I:I,Datos_Ventas_Completos!I:I)</f>
        <v>1.0000000000000002</v>
      </c>
      <c r="G13" s="17">
        <f>CORREL(Datos_Ventas_Completos!I:I,Datos_Ventas_Completos!O:O)</f>
        <v>-5.1514357969453348E-2</v>
      </c>
    </row>
    <row r="14" spans="1:9" x14ac:dyDescent="0.25">
      <c r="A14" t="s">
        <v>14</v>
      </c>
      <c r="B14" s="17">
        <f>CORREL(Datos_Ventas_Completos!O:O,Datos_Ventas_Completos!J:J)</f>
        <v>-5.3873172830899867E-2</v>
      </c>
      <c r="C14" s="17">
        <f>CORREL(Datos_Ventas_Completos!O:O,Datos_Ventas_Completos!M:M)</f>
        <v>2.7019816250011219E-2</v>
      </c>
      <c r="D14" s="17">
        <f>CORREL(Datos_Ventas_Completos!O:O,Datos_Ventas_Completos!N:N)</f>
        <v>6.9221009349922619E-2</v>
      </c>
      <c r="E14" s="17">
        <f>CORREL(Datos_Ventas_Completos!O:O,Datos_Ventas_Completos!H:H)</f>
        <v>0.16840811298686162</v>
      </c>
      <c r="F14" s="17">
        <f>CORREL(Datos_Ventas_Completos!O:O,Datos_Ventas_Completos!I:I)</f>
        <v>-5.1514357969453348E-2</v>
      </c>
      <c r="G14" s="3">
        <f>CORREL(Datos_Ventas_Completos!O:O,Datos_Ventas_Completos!O:O)</f>
        <v>1.0000000000000002</v>
      </c>
    </row>
    <row r="17" spans="1:6" x14ac:dyDescent="0.25">
      <c r="A17" s="20" t="s">
        <v>251</v>
      </c>
      <c r="B17" s="20" t="s">
        <v>252</v>
      </c>
      <c r="C17" s="20" t="s">
        <v>253</v>
      </c>
      <c r="D17" s="20" t="s">
        <v>254</v>
      </c>
      <c r="E17" s="20" t="s">
        <v>255</v>
      </c>
      <c r="F17" s="20" t="s">
        <v>256</v>
      </c>
    </row>
    <row r="18" spans="1:6" x14ac:dyDescent="0.25">
      <c r="A18" t="s">
        <v>9</v>
      </c>
      <c r="B18" s="3" t="s">
        <v>8</v>
      </c>
      <c r="C18" s="17">
        <f>B13</f>
        <v>0.75392663187645392</v>
      </c>
      <c r="D18" t="s">
        <v>257</v>
      </c>
      <c r="E18" t="s">
        <v>258</v>
      </c>
      <c r="F18" t="s">
        <v>259</v>
      </c>
    </row>
    <row r="19" spans="1:6" x14ac:dyDescent="0.25">
      <c r="A19" t="s">
        <v>7</v>
      </c>
      <c r="B19" s="3" t="s">
        <v>8</v>
      </c>
      <c r="C19" s="17">
        <f>E13</f>
        <v>-3.5293578959410009E-2</v>
      </c>
      <c r="D19" t="s">
        <v>260</v>
      </c>
      <c r="E19" t="s">
        <v>261</v>
      </c>
      <c r="F19" t="s">
        <v>262</v>
      </c>
    </row>
    <row r="20" spans="1:6" x14ac:dyDescent="0.25">
      <c r="A20" t="s">
        <v>13</v>
      </c>
      <c r="B20" t="s">
        <v>12</v>
      </c>
      <c r="C20" s="17">
        <f>C11</f>
        <v>-5.5356740666634902E-2</v>
      </c>
      <c r="D20" t="s">
        <v>263</v>
      </c>
      <c r="E20" t="s">
        <v>264</v>
      </c>
      <c r="F20" t="s">
        <v>259</v>
      </c>
    </row>
    <row r="21" spans="1:6" x14ac:dyDescent="0.25">
      <c r="A21" t="s">
        <v>9</v>
      </c>
      <c r="B21" t="s">
        <v>12</v>
      </c>
      <c r="C21" s="17">
        <f>C9</f>
        <v>-0.13513512453365803</v>
      </c>
      <c r="D21" t="s">
        <v>263</v>
      </c>
      <c r="E21" t="s">
        <v>265</v>
      </c>
      <c r="F21" t="s">
        <v>266</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EA0699-9545-4DE7-9A86-4E56931FE514}">
  <sheetPr codeName="Hoja8"/>
  <dimension ref="A1:B6"/>
  <sheetViews>
    <sheetView workbookViewId="0">
      <selection activeCell="A2" sqref="A2"/>
    </sheetView>
  </sheetViews>
  <sheetFormatPr baseColWidth="10" defaultRowHeight="15" x14ac:dyDescent="0.25"/>
  <cols>
    <col min="2" max="2" width="16" style="3" customWidth="1"/>
  </cols>
  <sheetData>
    <row r="1" spans="1:2" x14ac:dyDescent="0.25">
      <c r="B1" s="3" t="s">
        <v>9</v>
      </c>
    </row>
    <row r="2" spans="1:2" x14ac:dyDescent="0.25">
      <c r="A2" t="s">
        <v>245</v>
      </c>
      <c r="B2" s="16">
        <f>AVERAGE(Datos_Ventas_Completos!J:J)</f>
        <v>2555.297</v>
      </c>
    </row>
    <row r="3" spans="1:2" x14ac:dyDescent="0.25">
      <c r="A3" t="s">
        <v>246</v>
      </c>
      <c r="B3" s="3">
        <f>MEDIAN(Datos_Ventas_Completos!J:J)</f>
        <v>2338.65</v>
      </c>
    </row>
    <row r="4" spans="1:2" x14ac:dyDescent="0.25">
      <c r="A4" t="s">
        <v>248</v>
      </c>
      <c r="B4" s="16">
        <f>_xlfn.STDEV.S(Datos_Ventas_Completos!J:J)</f>
        <v>1412.6662178560489</v>
      </c>
    </row>
    <row r="5" spans="1:2" x14ac:dyDescent="0.25">
      <c r="A5" t="s">
        <v>247</v>
      </c>
      <c r="B5" s="17">
        <f>SKEW(Datos_Ventas_Completos!J:J)</f>
        <v>0.53223625744493019</v>
      </c>
    </row>
    <row r="6" spans="1:2" x14ac:dyDescent="0.25">
      <c r="A6" t="s">
        <v>249</v>
      </c>
      <c r="B6" s="17">
        <f>KURT(Datos_Ventas_Completos!J:J)</f>
        <v>-0.3658738604679721</v>
      </c>
    </row>
  </sheetData>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0C6FCD-5F45-4ADA-B0EB-64E52E4D71A6}">
  <sheetPr codeName="Hoja9"/>
  <dimension ref="A1:S128"/>
  <sheetViews>
    <sheetView workbookViewId="0">
      <selection activeCell="A4" sqref="A4"/>
    </sheetView>
  </sheetViews>
  <sheetFormatPr baseColWidth="10" defaultRowHeight="15" x14ac:dyDescent="0.25"/>
  <cols>
    <col min="1" max="1" width="32.5703125" customWidth="1"/>
    <col min="2" max="2" width="16.7109375" customWidth="1"/>
    <col min="3" max="3" width="19.140625" customWidth="1"/>
    <col min="4" max="4" width="25" customWidth="1"/>
    <col min="6" max="6" width="16" customWidth="1"/>
    <col min="7" max="7" width="12.42578125" customWidth="1"/>
    <col min="8" max="8" width="13.7109375" customWidth="1"/>
    <col min="9" max="9" width="13.5703125" customWidth="1"/>
    <col min="11" max="11" width="32" customWidth="1"/>
  </cols>
  <sheetData>
    <row r="1" spans="1:19" x14ac:dyDescent="0.25">
      <c r="A1" t="s">
        <v>281</v>
      </c>
      <c r="K1" t="s">
        <v>281</v>
      </c>
    </row>
    <row r="2" spans="1:19" ht="15.75" thickBot="1" x14ac:dyDescent="0.3">
      <c r="N2" t="s">
        <v>310</v>
      </c>
    </row>
    <row r="3" spans="1:19" x14ac:dyDescent="0.25">
      <c r="A3" s="25" t="s">
        <v>282</v>
      </c>
      <c r="B3" s="25"/>
      <c r="D3" t="s">
        <v>308</v>
      </c>
      <c r="K3" s="25" t="s">
        <v>282</v>
      </c>
      <c r="L3" s="25"/>
      <c r="N3" t="s">
        <v>311</v>
      </c>
    </row>
    <row r="4" spans="1:19" x14ac:dyDescent="0.25">
      <c r="A4" t="s">
        <v>283</v>
      </c>
      <c r="B4" s="26">
        <v>0.13513512453365889</v>
      </c>
      <c r="K4" t="s">
        <v>283</v>
      </c>
      <c r="L4">
        <v>0.61298177800751097</v>
      </c>
      <c r="N4" t="s">
        <v>312</v>
      </c>
    </row>
    <row r="5" spans="1:19" x14ac:dyDescent="0.25">
      <c r="A5" t="s">
        <v>284</v>
      </c>
      <c r="B5" s="29">
        <v>1.8261501882727495E-2</v>
      </c>
      <c r="C5" t="s">
        <v>309</v>
      </c>
      <c r="K5" t="s">
        <v>284</v>
      </c>
      <c r="L5" s="27">
        <v>0.37574666016924951</v>
      </c>
      <c r="N5" t="s">
        <v>313</v>
      </c>
    </row>
    <row r="6" spans="1:19" x14ac:dyDescent="0.25">
      <c r="A6" t="s">
        <v>285</v>
      </c>
      <c r="B6" s="26">
        <v>8.2437621060206315E-3</v>
      </c>
      <c r="K6" t="s">
        <v>285</v>
      </c>
      <c r="L6">
        <v>0.34254169528463513</v>
      </c>
      <c r="N6" t="s">
        <v>314</v>
      </c>
    </row>
    <row r="7" spans="1:19" x14ac:dyDescent="0.25">
      <c r="A7" t="s">
        <v>286</v>
      </c>
      <c r="B7" s="26">
        <v>1406.83132548604</v>
      </c>
      <c r="K7" t="s">
        <v>286</v>
      </c>
      <c r="L7">
        <v>1145.443487751405</v>
      </c>
      <c r="N7" t="s">
        <v>315</v>
      </c>
    </row>
    <row r="8" spans="1:19" ht="15.75" thickBot="1" x14ac:dyDescent="0.3">
      <c r="A8" s="23" t="s">
        <v>287</v>
      </c>
      <c r="B8" s="23">
        <v>100</v>
      </c>
      <c r="K8" s="23" t="s">
        <v>287</v>
      </c>
      <c r="L8" s="23">
        <v>100</v>
      </c>
      <c r="N8" t="s">
        <v>316</v>
      </c>
    </row>
    <row r="9" spans="1:19" x14ac:dyDescent="0.25">
      <c r="N9" t="s">
        <v>317</v>
      </c>
    </row>
    <row r="10" spans="1:19" ht="15.75" thickBot="1" x14ac:dyDescent="0.3">
      <c r="A10" t="s">
        <v>288</v>
      </c>
      <c r="K10" t="s">
        <v>288</v>
      </c>
    </row>
    <row r="11" spans="1:19" x14ac:dyDescent="0.25">
      <c r="A11" s="24"/>
      <c r="B11" s="24" t="s">
        <v>293</v>
      </c>
      <c r="C11" s="24" t="s">
        <v>294</v>
      </c>
      <c r="D11" s="24" t="s">
        <v>295</v>
      </c>
      <c r="E11" s="24" t="s">
        <v>296</v>
      </c>
      <c r="F11" s="24" t="s">
        <v>297</v>
      </c>
      <c r="K11" s="24"/>
      <c r="L11" s="24" t="s">
        <v>293</v>
      </c>
      <c r="M11" s="24" t="s">
        <v>294</v>
      </c>
      <c r="N11" s="24" t="s">
        <v>295</v>
      </c>
      <c r="O11" s="24" t="s">
        <v>296</v>
      </c>
      <c r="P11" s="24" t="s">
        <v>297</v>
      </c>
      <c r="R11" t="s">
        <v>318</v>
      </c>
    </row>
    <row r="12" spans="1:19" x14ac:dyDescent="0.25">
      <c r="A12" t="s">
        <v>289</v>
      </c>
      <c r="B12">
        <v>1</v>
      </c>
      <c r="C12">
        <v>3607869.3839569092</v>
      </c>
      <c r="D12">
        <v>3607869.3839569092</v>
      </c>
      <c r="E12">
        <v>1.8229163753273905</v>
      </c>
      <c r="F12">
        <v>0.18007655443715112</v>
      </c>
      <c r="K12" t="s">
        <v>289</v>
      </c>
      <c r="L12">
        <v>5</v>
      </c>
      <c r="M12">
        <v>74235124.802682459</v>
      </c>
      <c r="N12">
        <v>14847024.960536491</v>
      </c>
      <c r="O12">
        <v>11.315978242258364</v>
      </c>
      <c r="P12">
        <v>1.4731204084724951E-8</v>
      </c>
    </row>
    <row r="13" spans="1:19" x14ac:dyDescent="0.25">
      <c r="A13" t="s">
        <v>290</v>
      </c>
      <c r="B13">
        <v>98</v>
      </c>
      <c r="C13">
        <v>193959089.08014321</v>
      </c>
      <c r="D13">
        <v>1979174.3783688082</v>
      </c>
      <c r="K13" t="s">
        <v>290</v>
      </c>
      <c r="L13">
        <v>94</v>
      </c>
      <c r="M13">
        <v>123331833.66141766</v>
      </c>
      <c r="N13">
        <v>1312040.7836321029</v>
      </c>
    </row>
    <row r="14" spans="1:19" ht="15.75" thickBot="1" x14ac:dyDescent="0.3">
      <c r="A14" s="23" t="s">
        <v>291</v>
      </c>
      <c r="B14" s="23">
        <v>99</v>
      </c>
      <c r="C14" s="23">
        <v>197566958.46410012</v>
      </c>
      <c r="D14" s="23"/>
      <c r="E14" s="23"/>
      <c r="F14" s="23"/>
      <c r="K14" s="23" t="s">
        <v>291</v>
      </c>
      <c r="L14" s="23">
        <v>99</v>
      </c>
      <c r="M14" s="23">
        <v>197566958.46410012</v>
      </c>
      <c r="N14" s="23"/>
      <c r="O14" s="23"/>
      <c r="P14" s="23"/>
    </row>
    <row r="15" spans="1:19" ht="15.75" thickBot="1" x14ac:dyDescent="0.3"/>
    <row r="16" spans="1:19" x14ac:dyDescent="0.25">
      <c r="A16" s="24"/>
      <c r="B16" s="24" t="s">
        <v>298</v>
      </c>
      <c r="C16" s="24" t="s">
        <v>286</v>
      </c>
      <c r="D16" s="24" t="s">
        <v>299</v>
      </c>
      <c r="E16" s="24" t="s">
        <v>300</v>
      </c>
      <c r="F16" s="24" t="s">
        <v>301</v>
      </c>
      <c r="G16" s="24" t="s">
        <v>302</v>
      </c>
      <c r="H16" s="24" t="s">
        <v>303</v>
      </c>
      <c r="I16" s="24" t="s">
        <v>304</v>
      </c>
      <c r="K16" s="24"/>
      <c r="L16" s="24" t="s">
        <v>298</v>
      </c>
      <c r="M16" s="24" t="s">
        <v>286</v>
      </c>
      <c r="N16" s="24" t="s">
        <v>299</v>
      </c>
      <c r="O16" s="24" t="s">
        <v>300</v>
      </c>
      <c r="P16" s="24" t="s">
        <v>301</v>
      </c>
      <c r="Q16" s="24" t="s">
        <v>302</v>
      </c>
      <c r="R16" s="24" t="s">
        <v>303</v>
      </c>
      <c r="S16" s="24" t="s">
        <v>304</v>
      </c>
    </row>
    <row r="17" spans="1:19" x14ac:dyDescent="0.25">
      <c r="A17" t="s">
        <v>292</v>
      </c>
      <c r="B17" s="27">
        <v>3914.1550123867733</v>
      </c>
      <c r="C17">
        <v>1016.231449688908</v>
      </c>
      <c r="D17">
        <v>3.8516373544481297</v>
      </c>
      <c r="E17">
        <v>2.0942027033905595E-4</v>
      </c>
      <c r="F17">
        <v>1897.4767742311647</v>
      </c>
      <c r="G17">
        <v>5930.8332505423823</v>
      </c>
      <c r="H17">
        <v>1897.4767742311647</v>
      </c>
      <c r="I17">
        <v>5930.8332505423823</v>
      </c>
      <c r="K17" t="s">
        <v>292</v>
      </c>
      <c r="L17" s="27">
        <v>1485.0417892424434</v>
      </c>
      <c r="M17">
        <v>962.5253454944459</v>
      </c>
      <c r="N17">
        <v>1.5428599321502361</v>
      </c>
      <c r="O17">
        <v>0.12622471481725411</v>
      </c>
      <c r="P17">
        <v>-426.07484762753279</v>
      </c>
      <c r="Q17">
        <v>3396.1584261124199</v>
      </c>
      <c r="R17">
        <v>-426.07484762753279</v>
      </c>
      <c r="S17">
        <v>3396.1584261124199</v>
      </c>
    </row>
    <row r="18" spans="1:19" ht="15.75" thickBot="1" x14ac:dyDescent="0.3">
      <c r="A18" s="23" t="s">
        <v>12</v>
      </c>
      <c r="B18" s="28">
        <v>-340.48058441161947</v>
      </c>
      <c r="C18" s="23">
        <v>252.17903505614581</v>
      </c>
      <c r="D18" s="23">
        <v>-1.3501542042771872</v>
      </c>
      <c r="E18" s="23">
        <v>0.18007655443715376</v>
      </c>
      <c r="F18" s="23">
        <v>-840.92167218989357</v>
      </c>
      <c r="G18" s="23">
        <v>159.96050336665462</v>
      </c>
      <c r="H18" s="23">
        <v>-840.92167218989357</v>
      </c>
      <c r="I18" s="23">
        <v>159.96050336665462</v>
      </c>
      <c r="K18" t="s">
        <v>7</v>
      </c>
      <c r="L18" s="27">
        <v>2.8450607755254533</v>
      </c>
      <c r="M18">
        <v>0.39057653004904236</v>
      </c>
      <c r="N18">
        <v>7.2842594386514108</v>
      </c>
      <c r="O18">
        <v>9.8311922067784755E-11</v>
      </c>
      <c r="P18">
        <v>2.0695619192701629</v>
      </c>
      <c r="Q18">
        <v>3.6205596317807438</v>
      </c>
      <c r="R18">
        <v>2.0695619192701629</v>
      </c>
      <c r="S18">
        <v>3.6205596317807438</v>
      </c>
    </row>
    <row r="19" spans="1:19" x14ac:dyDescent="0.25">
      <c r="K19" t="s">
        <v>12</v>
      </c>
      <c r="L19" s="27">
        <v>-355.0411547414916</v>
      </c>
      <c r="M19">
        <v>206.47294547241088</v>
      </c>
      <c r="N19">
        <v>-1.7195529125094626</v>
      </c>
      <c r="O19">
        <v>8.8804880234872999E-2</v>
      </c>
      <c r="P19">
        <v>-764.99802808820891</v>
      </c>
      <c r="Q19">
        <v>54.91571860522572</v>
      </c>
      <c r="R19">
        <v>-764.99802808820891</v>
      </c>
      <c r="S19">
        <v>54.91571860522572</v>
      </c>
    </row>
    <row r="20" spans="1:19" x14ac:dyDescent="0.25">
      <c r="K20" t="s">
        <v>14</v>
      </c>
      <c r="L20" s="27">
        <v>-4229.3228887842088</v>
      </c>
      <c r="M20">
        <v>2115.1247671439778</v>
      </c>
      <c r="N20">
        <v>-1.9995618955826431</v>
      </c>
      <c r="O20">
        <v>4.8434268747371743E-2</v>
      </c>
      <c r="P20">
        <v>-8428.9526964212237</v>
      </c>
      <c r="Q20">
        <v>-29.693081147194789</v>
      </c>
      <c r="R20">
        <v>-8428.9526964212237</v>
      </c>
      <c r="S20">
        <v>-29.693081147194789</v>
      </c>
    </row>
    <row r="21" spans="1:19" x14ac:dyDescent="0.25">
      <c r="K21" t="s">
        <v>13</v>
      </c>
      <c r="L21" s="27">
        <v>-9.3813664330368418</v>
      </c>
      <c r="M21">
        <v>56.540084802070275</v>
      </c>
      <c r="N21">
        <v>-0.16592416629508369</v>
      </c>
      <c r="O21">
        <v>0.86857298324849108</v>
      </c>
      <c r="P21">
        <v>-121.6430302126732</v>
      </c>
      <c r="Q21">
        <v>102.88029734659951</v>
      </c>
      <c r="R21">
        <v>-121.6430302126732</v>
      </c>
      <c r="S21">
        <v>102.88029734659951</v>
      </c>
    </row>
    <row r="22" spans="1:19" ht="15.75" thickBot="1" x14ac:dyDescent="0.3">
      <c r="A22" t="s">
        <v>305</v>
      </c>
      <c r="K22" s="23" t="s">
        <v>200</v>
      </c>
      <c r="L22" s="28">
        <v>10.501309435636175</v>
      </c>
      <c r="M22" s="23">
        <v>11.904200009007232</v>
      </c>
      <c r="N22" s="23">
        <v>0.88215162948290782</v>
      </c>
      <c r="O22" s="23">
        <v>0.37994509032641122</v>
      </c>
      <c r="P22" s="23">
        <v>-13.134758738916345</v>
      </c>
      <c r="Q22" s="23">
        <v>34.137377610188693</v>
      </c>
      <c r="R22" s="23">
        <v>-13.134758738916345</v>
      </c>
      <c r="S22" s="23">
        <v>34.137377610188693</v>
      </c>
    </row>
    <row r="23" spans="1:19" ht="15.75" thickBot="1" x14ac:dyDescent="0.3"/>
    <row r="24" spans="1:19" x14ac:dyDescent="0.25">
      <c r="A24" s="24" t="s">
        <v>306</v>
      </c>
      <c r="B24" s="24" t="s">
        <v>307</v>
      </c>
      <c r="C24" s="24" t="s">
        <v>290</v>
      </c>
    </row>
    <row r="25" spans="1:19" x14ac:dyDescent="0.25">
      <c r="A25">
        <v>1</v>
      </c>
      <c r="B25">
        <v>2279.848207211</v>
      </c>
      <c r="C25">
        <v>-1223.848207211</v>
      </c>
    </row>
    <row r="26" spans="1:19" x14ac:dyDescent="0.25">
      <c r="A26">
        <v>2</v>
      </c>
      <c r="B26">
        <v>2416.0404409756475</v>
      </c>
      <c r="C26">
        <v>4168.9595590243525</v>
      </c>
      <c r="K26" t="s">
        <v>305</v>
      </c>
    </row>
    <row r="27" spans="1:19" ht="15.75" thickBot="1" x14ac:dyDescent="0.3">
      <c r="A27">
        <v>3</v>
      </c>
      <c r="B27">
        <v>2756.5210253872674</v>
      </c>
      <c r="C27">
        <v>-1089.7210253872674</v>
      </c>
    </row>
    <row r="28" spans="1:19" x14ac:dyDescent="0.25">
      <c r="A28">
        <v>4</v>
      </c>
      <c r="B28">
        <v>2245.8001487698375</v>
      </c>
      <c r="C28">
        <v>-1336.3001487698375</v>
      </c>
      <c r="K28" s="24" t="s">
        <v>306</v>
      </c>
      <c r="L28" s="24" t="s">
        <v>307</v>
      </c>
      <c r="M28" s="24" t="s">
        <v>290</v>
      </c>
    </row>
    <row r="29" spans="1:19" x14ac:dyDescent="0.25">
      <c r="A29">
        <v>5</v>
      </c>
      <c r="B29">
        <v>2211.7520903286759</v>
      </c>
      <c r="C29">
        <v>-1859.3020903286758</v>
      </c>
      <c r="K29">
        <v>1</v>
      </c>
      <c r="L29">
        <v>1399.6706827553203</v>
      </c>
      <c r="M29">
        <v>-343.67068275532029</v>
      </c>
    </row>
    <row r="30" spans="1:19" x14ac:dyDescent="0.25">
      <c r="A30">
        <v>6</v>
      </c>
      <c r="B30">
        <v>2722.4729669461049</v>
      </c>
      <c r="C30">
        <v>-654.27296694610504</v>
      </c>
      <c r="K30">
        <v>2</v>
      </c>
      <c r="L30">
        <v>3739.5332643763145</v>
      </c>
      <c r="M30">
        <v>2845.4667356236855</v>
      </c>
    </row>
    <row r="31" spans="1:19" x14ac:dyDescent="0.25">
      <c r="A31">
        <v>7</v>
      </c>
      <c r="B31">
        <v>2450.0884994168096</v>
      </c>
      <c r="C31">
        <v>332.71150058319063</v>
      </c>
      <c r="K31">
        <v>3</v>
      </c>
      <c r="L31">
        <v>1495.1115973985168</v>
      </c>
      <c r="M31">
        <v>171.68840260148318</v>
      </c>
    </row>
    <row r="32" spans="1:19" x14ac:dyDescent="0.25">
      <c r="A32">
        <v>8</v>
      </c>
      <c r="B32">
        <v>2245.8001487698375</v>
      </c>
      <c r="C32">
        <v>1384.1998512301625</v>
      </c>
      <c r="K32">
        <v>4</v>
      </c>
      <c r="L32">
        <v>2453.6731637119487</v>
      </c>
      <c r="M32">
        <v>-1544.1731637119487</v>
      </c>
    </row>
    <row r="33" spans="1:13" x14ac:dyDescent="0.25">
      <c r="A33">
        <v>9</v>
      </c>
      <c r="B33">
        <v>2518.1846162991333</v>
      </c>
      <c r="C33">
        <v>-1433.2846162991332</v>
      </c>
      <c r="K33">
        <v>5</v>
      </c>
      <c r="L33">
        <v>614.23356701209457</v>
      </c>
      <c r="M33">
        <v>-261.78356701209458</v>
      </c>
    </row>
    <row r="34" spans="1:13" x14ac:dyDescent="0.25">
      <c r="A34">
        <v>10</v>
      </c>
      <c r="B34">
        <v>2790.569083828429</v>
      </c>
      <c r="C34">
        <v>-1897.569083828429</v>
      </c>
      <c r="K34">
        <v>6</v>
      </c>
      <c r="L34">
        <v>2278.5357161634361</v>
      </c>
      <c r="M34">
        <v>-210.33571616343625</v>
      </c>
    </row>
    <row r="35" spans="1:13" x14ac:dyDescent="0.25">
      <c r="A35">
        <v>11</v>
      </c>
      <c r="B35">
        <v>2824.6171422695907</v>
      </c>
      <c r="C35">
        <v>598.38285773040934</v>
      </c>
      <c r="K35">
        <v>7</v>
      </c>
      <c r="L35">
        <v>2002.7969653606858</v>
      </c>
      <c r="M35">
        <v>780.00303463931436</v>
      </c>
    </row>
    <row r="36" spans="1:13" x14ac:dyDescent="0.25">
      <c r="A36">
        <v>12</v>
      </c>
      <c r="B36">
        <v>2381.9923825344858</v>
      </c>
      <c r="C36">
        <v>-1424.3923825344859</v>
      </c>
      <c r="K36">
        <v>8</v>
      </c>
      <c r="L36">
        <v>3467.6173727370692</v>
      </c>
      <c r="M36">
        <v>162.38262726293078</v>
      </c>
    </row>
    <row r="37" spans="1:13" x14ac:dyDescent="0.25">
      <c r="A37">
        <v>13</v>
      </c>
      <c r="B37">
        <v>2347.9443240933238</v>
      </c>
      <c r="C37">
        <v>-1048.3443240933238</v>
      </c>
      <c r="K37">
        <v>9</v>
      </c>
      <c r="L37">
        <v>1701.1876976590156</v>
      </c>
      <c r="M37">
        <v>-616.28769765901552</v>
      </c>
    </row>
    <row r="38" spans="1:13" x14ac:dyDescent="0.25">
      <c r="A38">
        <v>14</v>
      </c>
      <c r="B38">
        <v>2518.1846162991333</v>
      </c>
      <c r="C38">
        <v>-290.18461629913327</v>
      </c>
      <c r="K38">
        <v>10</v>
      </c>
      <c r="L38">
        <v>2923.7727657691635</v>
      </c>
      <c r="M38">
        <v>-2030.7727657691635</v>
      </c>
    </row>
    <row r="39" spans="1:13" x14ac:dyDescent="0.25">
      <c r="A39">
        <v>15</v>
      </c>
      <c r="B39">
        <v>2484.1365578579716</v>
      </c>
      <c r="C39">
        <v>-32.536557857971729</v>
      </c>
      <c r="K39">
        <v>11</v>
      </c>
      <c r="L39">
        <v>3674.2333200066623</v>
      </c>
      <c r="M39">
        <v>-251.23332000666232</v>
      </c>
    </row>
    <row r="40" spans="1:13" x14ac:dyDescent="0.25">
      <c r="A40">
        <v>16</v>
      </c>
      <c r="B40">
        <v>2756.5210253872674</v>
      </c>
      <c r="C40">
        <v>1697.4789746127326</v>
      </c>
      <c r="K40">
        <v>12</v>
      </c>
      <c r="L40">
        <v>2759.7014200902941</v>
      </c>
      <c r="M40">
        <v>-1802.1014200902941</v>
      </c>
    </row>
    <row r="41" spans="1:13" x14ac:dyDescent="0.25">
      <c r="A41">
        <v>17</v>
      </c>
      <c r="B41">
        <v>2313.8962656521617</v>
      </c>
      <c r="C41">
        <v>-593.89626565216167</v>
      </c>
      <c r="K41">
        <v>13</v>
      </c>
      <c r="L41">
        <v>1016.8429276944285</v>
      </c>
      <c r="M41">
        <v>282.75707230557146</v>
      </c>
    </row>
    <row r="42" spans="1:13" x14ac:dyDescent="0.25">
      <c r="A42">
        <v>18</v>
      </c>
      <c r="B42">
        <v>2586.2807331814574</v>
      </c>
      <c r="C42">
        <v>2445.7192668185426</v>
      </c>
      <c r="K42">
        <v>14</v>
      </c>
      <c r="L42">
        <v>3525.4312942450042</v>
      </c>
      <c r="M42">
        <v>-1297.4312942450042</v>
      </c>
    </row>
    <row r="43" spans="1:13" x14ac:dyDescent="0.25">
      <c r="A43">
        <v>19</v>
      </c>
      <c r="B43">
        <v>2211.7520903286759</v>
      </c>
      <c r="C43">
        <v>1868.2479096713241</v>
      </c>
      <c r="K43">
        <v>15</v>
      </c>
      <c r="L43">
        <v>3553.1624070769853</v>
      </c>
      <c r="M43">
        <v>-1101.5624070769854</v>
      </c>
    </row>
    <row r="44" spans="1:13" x14ac:dyDescent="0.25">
      <c r="A44">
        <v>20</v>
      </c>
      <c r="B44">
        <v>2688.4249085049432</v>
      </c>
      <c r="C44">
        <v>2437.7750914950566</v>
      </c>
      <c r="K44">
        <v>16</v>
      </c>
      <c r="L44">
        <v>2933.0249251956634</v>
      </c>
      <c r="M44">
        <v>1520.9750748043366</v>
      </c>
    </row>
    <row r="45" spans="1:13" x14ac:dyDescent="0.25">
      <c r="A45">
        <v>21</v>
      </c>
      <c r="B45">
        <v>2552.2326747402954</v>
      </c>
      <c r="C45">
        <v>-1801.7326747402954</v>
      </c>
      <c r="K45">
        <v>17</v>
      </c>
      <c r="L45">
        <v>2358.7323568326478</v>
      </c>
      <c r="M45">
        <v>-638.73235683264784</v>
      </c>
    </row>
    <row r="46" spans="1:13" x14ac:dyDescent="0.25">
      <c r="A46">
        <v>22</v>
      </c>
      <c r="B46">
        <v>2381.9923825344858</v>
      </c>
      <c r="C46">
        <v>843.75761746551416</v>
      </c>
      <c r="K46">
        <v>18</v>
      </c>
      <c r="L46">
        <v>3112.0486279920688</v>
      </c>
      <c r="M46">
        <v>1919.9513720079312</v>
      </c>
    </row>
    <row r="47" spans="1:13" x14ac:dyDescent="0.25">
      <c r="A47">
        <v>23</v>
      </c>
      <c r="B47">
        <v>2858.6652007107527</v>
      </c>
      <c r="C47">
        <v>1436.3347992892473</v>
      </c>
      <c r="K47">
        <v>19</v>
      </c>
      <c r="L47">
        <v>2759.9362816724542</v>
      </c>
      <c r="M47">
        <v>1320.0637183275458</v>
      </c>
    </row>
    <row r="48" spans="1:13" x14ac:dyDescent="0.25">
      <c r="A48">
        <v>24</v>
      </c>
      <c r="B48">
        <v>2722.4729669461049</v>
      </c>
      <c r="C48">
        <v>-872.47296694610486</v>
      </c>
      <c r="K48">
        <v>20</v>
      </c>
      <c r="L48">
        <v>3940.6674542792603</v>
      </c>
      <c r="M48">
        <v>1185.5325457207396</v>
      </c>
    </row>
    <row r="49" spans="1:13" x14ac:dyDescent="0.25">
      <c r="A49">
        <v>25</v>
      </c>
      <c r="B49">
        <v>2620.3287916226191</v>
      </c>
      <c r="C49">
        <v>-699.72879162261916</v>
      </c>
      <c r="K49">
        <v>21</v>
      </c>
      <c r="L49">
        <v>1300.0889162571009</v>
      </c>
      <c r="M49">
        <v>-549.58891625710089</v>
      </c>
    </row>
    <row r="50" spans="1:13" x14ac:dyDescent="0.25">
      <c r="A50">
        <v>26</v>
      </c>
      <c r="B50">
        <v>2552.2326747402954</v>
      </c>
      <c r="C50">
        <v>-1176.2326747402954</v>
      </c>
      <c r="K50">
        <v>22</v>
      </c>
      <c r="L50">
        <v>3132.8336869725349</v>
      </c>
      <c r="M50">
        <v>92.916313027465094</v>
      </c>
    </row>
    <row r="51" spans="1:13" x14ac:dyDescent="0.25">
      <c r="A51">
        <v>27</v>
      </c>
      <c r="B51">
        <v>2518.1846162991333</v>
      </c>
      <c r="C51">
        <v>949.81538370086673</v>
      </c>
      <c r="K51">
        <v>23</v>
      </c>
      <c r="L51">
        <v>2907.4302967826334</v>
      </c>
      <c r="M51">
        <v>1387.5697032173666</v>
      </c>
    </row>
    <row r="52" spans="1:13" x14ac:dyDescent="0.25">
      <c r="A52">
        <v>28</v>
      </c>
      <c r="B52">
        <v>2756.5210253872674</v>
      </c>
      <c r="C52">
        <v>315.77897461273278</v>
      </c>
      <c r="K52">
        <v>24</v>
      </c>
      <c r="L52">
        <v>1600.7281512276886</v>
      </c>
      <c r="M52">
        <v>249.27184877231139</v>
      </c>
    </row>
    <row r="53" spans="1:13" x14ac:dyDescent="0.25">
      <c r="A53">
        <v>29</v>
      </c>
      <c r="B53">
        <v>2790.569083828429</v>
      </c>
      <c r="C53">
        <v>-1707.569083828429</v>
      </c>
      <c r="K53">
        <v>25</v>
      </c>
      <c r="L53">
        <v>3028.3866631741489</v>
      </c>
      <c r="M53">
        <v>-1107.786663174149</v>
      </c>
    </row>
    <row r="54" spans="1:13" x14ac:dyDescent="0.25">
      <c r="A54">
        <v>30</v>
      </c>
      <c r="B54">
        <v>2484.1365578579716</v>
      </c>
      <c r="C54">
        <v>2275.8634421420284</v>
      </c>
      <c r="K54">
        <v>26</v>
      </c>
      <c r="L54">
        <v>4086.9337777610617</v>
      </c>
      <c r="M54">
        <v>-2710.9337777610617</v>
      </c>
    </row>
    <row r="55" spans="1:13" x14ac:dyDescent="0.25">
      <c r="A55">
        <v>31</v>
      </c>
      <c r="B55">
        <v>2518.1846162991333</v>
      </c>
      <c r="C55">
        <v>-888.18461629913327</v>
      </c>
      <c r="K55">
        <v>27</v>
      </c>
      <c r="L55">
        <v>3387.9908259391646</v>
      </c>
      <c r="M55">
        <v>80.009174060835448</v>
      </c>
    </row>
    <row r="56" spans="1:13" x14ac:dyDescent="0.25">
      <c r="A56">
        <v>32</v>
      </c>
      <c r="B56">
        <v>2620.3287916226191</v>
      </c>
      <c r="C56">
        <v>-1135.3287916226191</v>
      </c>
      <c r="K56">
        <v>28</v>
      </c>
      <c r="L56">
        <v>3392.1623191694639</v>
      </c>
      <c r="M56">
        <v>-319.86231916946372</v>
      </c>
    </row>
    <row r="57" spans="1:13" x14ac:dyDescent="0.25">
      <c r="A57">
        <v>33</v>
      </c>
      <c r="B57">
        <v>2279.848207211</v>
      </c>
      <c r="C57">
        <v>-991.648207211</v>
      </c>
      <c r="K57">
        <v>29</v>
      </c>
      <c r="L57">
        <v>3523.9823407250192</v>
      </c>
      <c r="M57">
        <v>-2440.9823407250192</v>
      </c>
    </row>
    <row r="58" spans="1:13" x14ac:dyDescent="0.25">
      <c r="A58">
        <v>34</v>
      </c>
      <c r="B58">
        <v>2688.4249085049432</v>
      </c>
      <c r="C58">
        <v>-780.42490850494323</v>
      </c>
      <c r="K58">
        <v>30</v>
      </c>
      <c r="L58">
        <v>2788.6171591186985</v>
      </c>
      <c r="M58">
        <v>1971.3828408813015</v>
      </c>
    </row>
    <row r="59" spans="1:13" x14ac:dyDescent="0.25">
      <c r="A59">
        <v>35</v>
      </c>
      <c r="B59">
        <v>2586.2807331814574</v>
      </c>
      <c r="C59">
        <v>1595.7192668185426</v>
      </c>
      <c r="K59">
        <v>31</v>
      </c>
      <c r="L59">
        <v>2618.4699237646723</v>
      </c>
      <c r="M59">
        <v>-988.46992376467233</v>
      </c>
    </row>
    <row r="60" spans="1:13" x14ac:dyDescent="0.25">
      <c r="A60">
        <v>36</v>
      </c>
      <c r="B60">
        <v>2347.9443240933238</v>
      </c>
      <c r="C60">
        <v>-967.94432409332376</v>
      </c>
      <c r="K60">
        <v>32</v>
      </c>
      <c r="L60">
        <v>2161.3596950911751</v>
      </c>
      <c r="M60">
        <v>-676.35969509117513</v>
      </c>
    </row>
    <row r="61" spans="1:13" x14ac:dyDescent="0.25">
      <c r="A61">
        <v>37</v>
      </c>
      <c r="B61">
        <v>2450.0884994168096</v>
      </c>
      <c r="C61">
        <v>-1621.1884994168095</v>
      </c>
      <c r="K61">
        <v>33</v>
      </c>
      <c r="L61">
        <v>663.22924718263414</v>
      </c>
      <c r="M61">
        <v>624.97075281736591</v>
      </c>
    </row>
    <row r="62" spans="1:13" x14ac:dyDescent="0.25">
      <c r="A62">
        <v>38</v>
      </c>
      <c r="B62">
        <v>2313.8962656521617</v>
      </c>
      <c r="C62">
        <v>-175.49626565216158</v>
      </c>
      <c r="K62">
        <v>34</v>
      </c>
      <c r="L62">
        <v>2117.583728343584</v>
      </c>
      <c r="M62">
        <v>-209.58372834358397</v>
      </c>
    </row>
    <row r="63" spans="1:13" x14ac:dyDescent="0.25">
      <c r="A63">
        <v>39</v>
      </c>
      <c r="B63">
        <v>2552.2326747402954</v>
      </c>
      <c r="C63">
        <v>86.167325259704739</v>
      </c>
      <c r="K63">
        <v>35</v>
      </c>
      <c r="L63">
        <v>4325.147091303972</v>
      </c>
      <c r="M63">
        <v>-143.14709130397205</v>
      </c>
    </row>
    <row r="64" spans="1:13" x14ac:dyDescent="0.25">
      <c r="A64">
        <v>40</v>
      </c>
      <c r="B64">
        <v>2756.5210253872674</v>
      </c>
      <c r="C64">
        <v>-2045.5210253872674</v>
      </c>
      <c r="K64">
        <v>36</v>
      </c>
      <c r="L64">
        <v>1123.6534577656366</v>
      </c>
      <c r="M64">
        <v>256.34654223436337</v>
      </c>
    </row>
    <row r="65" spans="1:13" x14ac:dyDescent="0.25">
      <c r="A65">
        <v>41</v>
      </c>
      <c r="B65">
        <v>2722.4729669461049</v>
      </c>
      <c r="C65">
        <v>-361.17296694610468</v>
      </c>
      <c r="K65">
        <v>37</v>
      </c>
      <c r="L65">
        <v>2463.631311875798</v>
      </c>
      <c r="M65">
        <v>-1634.7313118757979</v>
      </c>
    </row>
    <row r="66" spans="1:13" x14ac:dyDescent="0.25">
      <c r="A66">
        <v>42</v>
      </c>
      <c r="B66">
        <v>2824.6171422695907</v>
      </c>
      <c r="C66">
        <v>1217.6328577304093</v>
      </c>
      <c r="K66">
        <v>38</v>
      </c>
      <c r="L66">
        <v>2902.7238166386828</v>
      </c>
      <c r="M66">
        <v>-764.32381663868273</v>
      </c>
    </row>
    <row r="67" spans="1:13" x14ac:dyDescent="0.25">
      <c r="A67">
        <v>43</v>
      </c>
      <c r="B67">
        <v>2586.2807331814574</v>
      </c>
      <c r="C67">
        <v>685.51926681854275</v>
      </c>
      <c r="K67">
        <v>39</v>
      </c>
      <c r="L67">
        <v>1908.618235675697</v>
      </c>
      <c r="M67">
        <v>729.78176432430314</v>
      </c>
    </row>
    <row r="68" spans="1:13" x14ac:dyDescent="0.25">
      <c r="A68">
        <v>44</v>
      </c>
      <c r="B68">
        <v>2722.4729669461049</v>
      </c>
      <c r="C68">
        <v>801.52703305389514</v>
      </c>
      <c r="K68">
        <v>40</v>
      </c>
      <c r="L68">
        <v>1305.4291160828257</v>
      </c>
      <c r="M68">
        <v>-594.42911608282566</v>
      </c>
    </row>
    <row r="69" spans="1:13" x14ac:dyDescent="0.25">
      <c r="A69">
        <v>45</v>
      </c>
      <c r="B69">
        <v>2654.3768500637811</v>
      </c>
      <c r="C69">
        <v>-742.37685006378115</v>
      </c>
      <c r="K69">
        <v>41</v>
      </c>
      <c r="L69">
        <v>3661.0201744707674</v>
      </c>
      <c r="M69">
        <v>-1299.7201744707672</v>
      </c>
    </row>
    <row r="70" spans="1:13" x14ac:dyDescent="0.25">
      <c r="A70">
        <v>46</v>
      </c>
      <c r="B70">
        <v>2654.3768500637811</v>
      </c>
      <c r="C70">
        <v>1388.2231499362188</v>
      </c>
      <c r="K70">
        <v>42</v>
      </c>
      <c r="L70">
        <v>2665.8436499641812</v>
      </c>
      <c r="M70">
        <v>1376.4063500358188</v>
      </c>
    </row>
    <row r="71" spans="1:13" x14ac:dyDescent="0.25">
      <c r="A71">
        <v>47</v>
      </c>
      <c r="B71">
        <v>2416.0404409756475</v>
      </c>
      <c r="C71">
        <v>-1313.5904409756474</v>
      </c>
      <c r="K71">
        <v>43</v>
      </c>
      <c r="L71">
        <v>2467.8880112742631</v>
      </c>
      <c r="M71">
        <v>803.91198872573705</v>
      </c>
    </row>
    <row r="72" spans="1:13" x14ac:dyDescent="0.25">
      <c r="A72">
        <v>48</v>
      </c>
      <c r="B72">
        <v>2586.2807331814574</v>
      </c>
      <c r="C72">
        <v>928.71926681854256</v>
      </c>
      <c r="K72">
        <v>44</v>
      </c>
      <c r="L72">
        <v>2846.7679048136706</v>
      </c>
      <c r="M72">
        <v>677.23209518632939</v>
      </c>
    </row>
    <row r="73" spans="1:13" x14ac:dyDescent="0.25">
      <c r="A73">
        <v>49</v>
      </c>
      <c r="B73">
        <v>2620.3287916226191</v>
      </c>
      <c r="C73">
        <v>255.17120837738094</v>
      </c>
      <c r="K73">
        <v>45</v>
      </c>
      <c r="L73">
        <v>3011.2617939036527</v>
      </c>
      <c r="M73">
        <v>-1099.2617939036527</v>
      </c>
    </row>
    <row r="74" spans="1:13" x14ac:dyDescent="0.25">
      <c r="A74">
        <v>50</v>
      </c>
      <c r="B74">
        <v>2450.0884994168096</v>
      </c>
      <c r="C74">
        <v>-134.08849941680955</v>
      </c>
      <c r="K74">
        <v>46</v>
      </c>
      <c r="L74">
        <v>3242.6472295683375</v>
      </c>
      <c r="M74">
        <v>799.95277043166243</v>
      </c>
    </row>
    <row r="75" spans="1:13" x14ac:dyDescent="0.25">
      <c r="A75">
        <v>51</v>
      </c>
      <c r="B75">
        <v>2756.5210253872674</v>
      </c>
      <c r="C75">
        <v>-1040.5210253872674</v>
      </c>
      <c r="K75">
        <v>47</v>
      </c>
      <c r="L75">
        <v>3098.5002767211572</v>
      </c>
      <c r="M75">
        <v>-1996.0502767211572</v>
      </c>
    </row>
    <row r="76" spans="1:13" x14ac:dyDescent="0.25">
      <c r="A76">
        <v>52</v>
      </c>
      <c r="B76">
        <v>2245.8001487698375</v>
      </c>
      <c r="C76">
        <v>-844.80014876983751</v>
      </c>
      <c r="K76">
        <v>48</v>
      </c>
      <c r="L76">
        <v>2423.3378950323008</v>
      </c>
      <c r="M76">
        <v>1091.6621049676992</v>
      </c>
    </row>
    <row r="77" spans="1:13" x14ac:dyDescent="0.25">
      <c r="A77">
        <v>53</v>
      </c>
      <c r="B77">
        <v>2518.1846162991333</v>
      </c>
      <c r="C77">
        <v>193.81538370086673</v>
      </c>
      <c r="K77">
        <v>49</v>
      </c>
      <c r="L77">
        <v>2803.2889864773383</v>
      </c>
      <c r="M77">
        <v>72.211013522661688</v>
      </c>
    </row>
    <row r="78" spans="1:13" x14ac:dyDescent="0.25">
      <c r="A78">
        <v>54</v>
      </c>
      <c r="B78">
        <v>2245.8001487698375</v>
      </c>
      <c r="C78">
        <v>-165.00014876983732</v>
      </c>
      <c r="K78">
        <v>50</v>
      </c>
      <c r="L78">
        <v>3575.8240859997854</v>
      </c>
      <c r="M78">
        <v>-1259.8240859997854</v>
      </c>
    </row>
    <row r="79" spans="1:13" x14ac:dyDescent="0.25">
      <c r="A79">
        <v>55</v>
      </c>
      <c r="B79">
        <v>2381.9923825344858</v>
      </c>
      <c r="C79">
        <v>511.40761746551425</v>
      </c>
      <c r="K79">
        <v>51</v>
      </c>
      <c r="L79">
        <v>1568.1604504512045</v>
      </c>
      <c r="M79">
        <v>147.8395495487955</v>
      </c>
    </row>
    <row r="80" spans="1:13" x14ac:dyDescent="0.25">
      <c r="A80">
        <v>56</v>
      </c>
      <c r="B80">
        <v>2552.2326747402954</v>
      </c>
      <c r="C80">
        <v>2475.5173252597046</v>
      </c>
      <c r="K80">
        <v>52</v>
      </c>
      <c r="L80">
        <v>1132.0897753706988</v>
      </c>
      <c r="M80">
        <v>268.91022462930118</v>
      </c>
    </row>
    <row r="81" spans="1:13" x14ac:dyDescent="0.25">
      <c r="A81">
        <v>57</v>
      </c>
      <c r="B81">
        <v>2756.5210253872674</v>
      </c>
      <c r="C81">
        <v>1653.4789746127326</v>
      </c>
      <c r="K81">
        <v>53</v>
      </c>
      <c r="L81">
        <v>2717.942342671935</v>
      </c>
      <c r="M81">
        <v>-5.9423426719349663</v>
      </c>
    </row>
    <row r="82" spans="1:13" x14ac:dyDescent="0.25">
      <c r="A82">
        <v>58</v>
      </c>
      <c r="B82">
        <v>2756.5210253872674</v>
      </c>
      <c r="C82">
        <v>2451.4789746127326</v>
      </c>
      <c r="K82">
        <v>54</v>
      </c>
      <c r="L82">
        <v>1131.8725956552169</v>
      </c>
      <c r="M82">
        <v>948.92740434478333</v>
      </c>
    </row>
    <row r="83" spans="1:13" x14ac:dyDescent="0.25">
      <c r="A83">
        <v>59</v>
      </c>
      <c r="B83">
        <v>2586.2807331814574</v>
      </c>
      <c r="C83">
        <v>721.21926681854256</v>
      </c>
      <c r="K83">
        <v>55</v>
      </c>
      <c r="L83">
        <v>1992.5039916371443</v>
      </c>
      <c r="M83">
        <v>900.89600836285581</v>
      </c>
    </row>
    <row r="84" spans="1:13" x14ac:dyDescent="0.25">
      <c r="A84">
        <v>60</v>
      </c>
      <c r="B84">
        <v>2552.2326747402954</v>
      </c>
      <c r="C84">
        <v>8.9673252597044666</v>
      </c>
      <c r="K84">
        <v>56</v>
      </c>
      <c r="L84">
        <v>2894.0572483339806</v>
      </c>
      <c r="M84">
        <v>2133.6927516660194</v>
      </c>
    </row>
    <row r="85" spans="1:13" x14ac:dyDescent="0.25">
      <c r="A85">
        <v>61</v>
      </c>
      <c r="B85">
        <v>2518.1846162991333</v>
      </c>
      <c r="C85">
        <v>-413.98461629913345</v>
      </c>
      <c r="K85">
        <v>57</v>
      </c>
      <c r="L85">
        <v>3115.025945644742</v>
      </c>
      <c r="M85">
        <v>1294.974054355258</v>
      </c>
    </row>
    <row r="86" spans="1:13" x14ac:dyDescent="0.25">
      <c r="A86">
        <v>62</v>
      </c>
      <c r="B86">
        <v>2586.2807331814574</v>
      </c>
      <c r="C86">
        <v>-1771.7807331814574</v>
      </c>
      <c r="K86">
        <v>58</v>
      </c>
      <c r="L86">
        <v>4051.8985074849252</v>
      </c>
      <c r="M86">
        <v>1156.1014925150748</v>
      </c>
    </row>
    <row r="87" spans="1:13" x14ac:dyDescent="0.25">
      <c r="A87">
        <v>63</v>
      </c>
      <c r="B87">
        <v>2347.9443240933238</v>
      </c>
      <c r="C87">
        <v>2027.0556759066762</v>
      </c>
      <c r="K87">
        <v>59</v>
      </c>
      <c r="L87">
        <v>2076.4664695246602</v>
      </c>
      <c r="M87">
        <v>1231.0335304753398</v>
      </c>
    </row>
    <row r="88" spans="1:13" x14ac:dyDescent="0.25">
      <c r="A88">
        <v>64</v>
      </c>
      <c r="B88">
        <v>2688.4249085049432</v>
      </c>
      <c r="C88">
        <v>1170.5750914950568</v>
      </c>
      <c r="K88">
        <v>60</v>
      </c>
      <c r="L88">
        <v>3737.2778470037188</v>
      </c>
      <c r="M88">
        <v>-1176.0778470037189</v>
      </c>
    </row>
    <row r="89" spans="1:13" x14ac:dyDescent="0.25">
      <c r="A89">
        <v>65</v>
      </c>
      <c r="B89">
        <v>2790.569083828429</v>
      </c>
      <c r="C89">
        <v>-1242.569083828429</v>
      </c>
      <c r="K89">
        <v>61</v>
      </c>
      <c r="L89">
        <v>3030.1884264416858</v>
      </c>
      <c r="M89">
        <v>-925.98842644168599</v>
      </c>
    </row>
    <row r="90" spans="1:13" x14ac:dyDescent="0.25">
      <c r="A90">
        <v>66</v>
      </c>
      <c r="B90">
        <v>2688.4249085049432</v>
      </c>
      <c r="C90">
        <v>-2120.3249085049433</v>
      </c>
      <c r="K90">
        <v>62</v>
      </c>
      <c r="L90">
        <v>2359.4819790843007</v>
      </c>
      <c r="M90">
        <v>-1544.9819790843007</v>
      </c>
    </row>
    <row r="91" spans="1:13" x14ac:dyDescent="0.25">
      <c r="A91">
        <v>67</v>
      </c>
      <c r="B91">
        <v>2279.848207211</v>
      </c>
      <c r="C91">
        <v>-1581.598207211</v>
      </c>
      <c r="K91">
        <v>63</v>
      </c>
      <c r="L91">
        <v>2439.1522699448769</v>
      </c>
      <c r="M91">
        <v>1935.8477300551231</v>
      </c>
    </row>
    <row r="92" spans="1:13" x14ac:dyDescent="0.25">
      <c r="A92">
        <v>68</v>
      </c>
      <c r="B92">
        <v>2416.0404409756475</v>
      </c>
      <c r="C92">
        <v>-1524.3904409756474</v>
      </c>
      <c r="K92">
        <v>64</v>
      </c>
      <c r="L92">
        <v>2880.7480601392817</v>
      </c>
      <c r="M92">
        <v>978.25193986071827</v>
      </c>
    </row>
    <row r="93" spans="1:13" x14ac:dyDescent="0.25">
      <c r="A93">
        <v>69</v>
      </c>
      <c r="B93">
        <v>2722.4729669461049</v>
      </c>
      <c r="C93">
        <v>630.92703305389523</v>
      </c>
      <c r="K93">
        <v>65</v>
      </c>
      <c r="L93">
        <v>1898.0916855612525</v>
      </c>
      <c r="M93">
        <v>-350.09168556125246</v>
      </c>
    </row>
    <row r="94" spans="1:13" x14ac:dyDescent="0.25">
      <c r="A94">
        <v>70</v>
      </c>
      <c r="B94">
        <v>2756.5210253872674</v>
      </c>
      <c r="C94">
        <v>-107.92102538726749</v>
      </c>
      <c r="K94">
        <v>66</v>
      </c>
      <c r="L94">
        <v>1757.1199796944602</v>
      </c>
      <c r="M94">
        <v>-1189.0199796944603</v>
      </c>
    </row>
    <row r="95" spans="1:13" x14ac:dyDescent="0.25">
      <c r="A95">
        <v>71</v>
      </c>
      <c r="B95">
        <v>2654.3768500637811</v>
      </c>
      <c r="C95">
        <v>168.62314993621885</v>
      </c>
      <c r="K95">
        <v>67</v>
      </c>
      <c r="L95">
        <v>1720.8439202516577</v>
      </c>
      <c r="M95">
        <v>-1022.5939202516577</v>
      </c>
    </row>
    <row r="96" spans="1:13" x14ac:dyDescent="0.25">
      <c r="A96">
        <v>72</v>
      </c>
      <c r="B96">
        <v>2381.9923825344858</v>
      </c>
      <c r="C96">
        <v>647.40761746551425</v>
      </c>
      <c r="K96">
        <v>68</v>
      </c>
      <c r="L96">
        <v>2591.3301406653327</v>
      </c>
      <c r="M96">
        <v>-1699.6801406653326</v>
      </c>
    </row>
    <row r="97" spans="1:13" x14ac:dyDescent="0.25">
      <c r="A97">
        <v>73</v>
      </c>
      <c r="B97">
        <v>2518.1846162991333</v>
      </c>
      <c r="C97">
        <v>2721.8153837008667</v>
      </c>
      <c r="K97">
        <v>69</v>
      </c>
      <c r="L97">
        <v>3685.2911924917325</v>
      </c>
      <c r="M97">
        <v>-331.89119249173245</v>
      </c>
    </row>
    <row r="98" spans="1:13" x14ac:dyDescent="0.25">
      <c r="A98">
        <v>74</v>
      </c>
      <c r="B98">
        <v>2824.6171422695907</v>
      </c>
      <c r="C98">
        <v>61.382857730409341</v>
      </c>
      <c r="K98">
        <v>70</v>
      </c>
      <c r="L98">
        <v>2201.4473908914233</v>
      </c>
      <c r="M98">
        <v>447.1526091085766</v>
      </c>
    </row>
    <row r="99" spans="1:13" x14ac:dyDescent="0.25">
      <c r="A99">
        <v>75</v>
      </c>
      <c r="B99">
        <v>2211.7520903286759</v>
      </c>
      <c r="C99">
        <v>1156.7979096713243</v>
      </c>
      <c r="K99">
        <v>71</v>
      </c>
      <c r="L99">
        <v>2949.8231494046977</v>
      </c>
      <c r="M99">
        <v>-126.82314940469769</v>
      </c>
    </row>
    <row r="100" spans="1:13" x14ac:dyDescent="0.25">
      <c r="A100">
        <v>76</v>
      </c>
      <c r="B100">
        <v>2347.9443240933238</v>
      </c>
      <c r="C100">
        <v>-126.89432409332358</v>
      </c>
      <c r="K100">
        <v>72</v>
      </c>
      <c r="L100">
        <v>2695.926023491972</v>
      </c>
      <c r="M100">
        <v>333.47397650802804</v>
      </c>
    </row>
    <row r="101" spans="1:13" x14ac:dyDescent="0.25">
      <c r="A101">
        <v>77</v>
      </c>
      <c r="B101">
        <v>2518.1846162991333</v>
      </c>
      <c r="C101">
        <v>-981.38461629913331</v>
      </c>
      <c r="K101">
        <v>73</v>
      </c>
      <c r="L101">
        <v>4064.3004733819189</v>
      </c>
      <c r="M101">
        <v>1175.6995266180811</v>
      </c>
    </row>
    <row r="102" spans="1:13" x14ac:dyDescent="0.25">
      <c r="A102">
        <v>78</v>
      </c>
      <c r="B102">
        <v>2586.2807331814574</v>
      </c>
      <c r="C102">
        <v>-430.28073318145744</v>
      </c>
      <c r="K102">
        <v>74</v>
      </c>
      <c r="L102">
        <v>3146.2047083215325</v>
      </c>
      <c r="M102">
        <v>-260.20470832153251</v>
      </c>
    </row>
    <row r="103" spans="1:13" x14ac:dyDescent="0.25">
      <c r="A103">
        <v>79</v>
      </c>
      <c r="B103">
        <v>2586.2807331814574</v>
      </c>
      <c r="C103">
        <v>1021.7192668185426</v>
      </c>
      <c r="K103">
        <v>75</v>
      </c>
      <c r="L103">
        <v>3161.5433451963981</v>
      </c>
      <c r="M103">
        <v>207.00665480360203</v>
      </c>
    </row>
    <row r="104" spans="1:13" x14ac:dyDescent="0.25">
      <c r="A104">
        <v>80</v>
      </c>
      <c r="B104">
        <v>2313.8962656521617</v>
      </c>
      <c r="C104">
        <v>-1407.5962656521617</v>
      </c>
      <c r="K104">
        <v>76</v>
      </c>
      <c r="L104">
        <v>1982.3971633665956</v>
      </c>
      <c r="M104">
        <v>238.6528366334046</v>
      </c>
    </row>
    <row r="105" spans="1:13" x14ac:dyDescent="0.25">
      <c r="A105">
        <v>81</v>
      </c>
      <c r="B105">
        <v>2586.2807331814574</v>
      </c>
      <c r="C105">
        <v>377.71926681854256</v>
      </c>
      <c r="K105">
        <v>77</v>
      </c>
      <c r="L105">
        <v>760.05097308465156</v>
      </c>
      <c r="M105">
        <v>776.7490269153484</v>
      </c>
    </row>
    <row r="106" spans="1:13" x14ac:dyDescent="0.25">
      <c r="A106">
        <v>82</v>
      </c>
      <c r="B106">
        <v>2654.3768500637811</v>
      </c>
      <c r="C106">
        <v>-1613.3768500637811</v>
      </c>
      <c r="K106">
        <v>78</v>
      </c>
      <c r="L106">
        <v>1725.7191202621302</v>
      </c>
      <c r="M106">
        <v>430.28087973786978</v>
      </c>
    </row>
    <row r="107" spans="1:13" x14ac:dyDescent="0.25">
      <c r="A107">
        <v>83</v>
      </c>
      <c r="B107">
        <v>2722.4729669461049</v>
      </c>
      <c r="C107">
        <v>-2315.3229669461048</v>
      </c>
      <c r="K107">
        <v>79</v>
      </c>
      <c r="L107">
        <v>2946.3798086167212</v>
      </c>
      <c r="M107">
        <v>661.62019138327878</v>
      </c>
    </row>
    <row r="108" spans="1:13" x14ac:dyDescent="0.25">
      <c r="A108">
        <v>84</v>
      </c>
      <c r="B108">
        <v>2790.569083828429</v>
      </c>
      <c r="C108">
        <v>-598.16908382842894</v>
      </c>
      <c r="K108">
        <v>80</v>
      </c>
      <c r="L108">
        <v>2556.9087102413537</v>
      </c>
      <c r="M108">
        <v>-1650.6087102413537</v>
      </c>
    </row>
    <row r="109" spans="1:13" x14ac:dyDescent="0.25">
      <c r="A109">
        <v>85</v>
      </c>
      <c r="B109">
        <v>2313.8962656521617</v>
      </c>
      <c r="C109">
        <v>727.05373434783814</v>
      </c>
      <c r="K109">
        <v>81</v>
      </c>
      <c r="L109">
        <v>2943.4100757812116</v>
      </c>
      <c r="M109">
        <v>20.589924218788383</v>
      </c>
    </row>
    <row r="110" spans="1:13" x14ac:dyDescent="0.25">
      <c r="A110">
        <v>86</v>
      </c>
      <c r="B110">
        <v>2313.8962656521617</v>
      </c>
      <c r="C110">
        <v>-74.696265652161856</v>
      </c>
      <c r="K110">
        <v>82</v>
      </c>
      <c r="L110">
        <v>1528.4113220587212</v>
      </c>
      <c r="M110">
        <v>-487.41132205872123</v>
      </c>
    </row>
    <row r="111" spans="1:13" x14ac:dyDescent="0.25">
      <c r="A111">
        <v>87</v>
      </c>
      <c r="B111">
        <v>2416.0404409756475</v>
      </c>
      <c r="C111">
        <v>-572.84044097564743</v>
      </c>
      <c r="K111">
        <v>83</v>
      </c>
      <c r="L111">
        <v>1238.9158767101844</v>
      </c>
      <c r="M111">
        <v>-831.76587671018444</v>
      </c>
    </row>
    <row r="112" spans="1:13" x14ac:dyDescent="0.25">
      <c r="A112">
        <v>88</v>
      </c>
      <c r="B112">
        <v>2824.6171422695907</v>
      </c>
      <c r="C112">
        <v>-2148.7171422695906</v>
      </c>
      <c r="K112">
        <v>84</v>
      </c>
      <c r="L112">
        <v>1932.1334476559477</v>
      </c>
      <c r="M112">
        <v>260.26655234405234</v>
      </c>
    </row>
    <row r="113" spans="1:13" x14ac:dyDescent="0.25">
      <c r="A113">
        <v>89</v>
      </c>
      <c r="B113">
        <v>2722.4729669461049</v>
      </c>
      <c r="C113">
        <v>3321.0270330538951</v>
      </c>
      <c r="K113">
        <v>85</v>
      </c>
      <c r="L113">
        <v>2977.7239099468379</v>
      </c>
      <c r="M113">
        <v>63.226090053161897</v>
      </c>
    </row>
    <row r="114" spans="1:13" x14ac:dyDescent="0.25">
      <c r="A114">
        <v>90</v>
      </c>
      <c r="B114">
        <v>2620.3287916226191</v>
      </c>
      <c r="C114">
        <v>371.27120837738084</v>
      </c>
      <c r="K114">
        <v>86</v>
      </c>
      <c r="L114">
        <v>1443.9175218005803</v>
      </c>
      <c r="M114">
        <v>795.28247819941953</v>
      </c>
    </row>
    <row r="115" spans="1:13" x14ac:dyDescent="0.25">
      <c r="A115">
        <v>91</v>
      </c>
      <c r="B115">
        <v>2722.4729669461049</v>
      </c>
      <c r="C115">
        <v>510.32703305389532</v>
      </c>
      <c r="K115">
        <v>87</v>
      </c>
      <c r="L115">
        <v>2693.0243569816598</v>
      </c>
      <c r="M115">
        <v>-849.82435698165978</v>
      </c>
    </row>
    <row r="116" spans="1:13" x14ac:dyDescent="0.25">
      <c r="A116">
        <v>92</v>
      </c>
      <c r="B116">
        <v>2858.6652007107527</v>
      </c>
      <c r="C116">
        <v>392.58479928924726</v>
      </c>
      <c r="K116">
        <v>88</v>
      </c>
      <c r="L116">
        <v>2381.017559687748</v>
      </c>
      <c r="M116">
        <v>-1705.1175596877479</v>
      </c>
    </row>
    <row r="117" spans="1:13" x14ac:dyDescent="0.25">
      <c r="A117">
        <v>93</v>
      </c>
      <c r="B117">
        <v>2381.9923825344858</v>
      </c>
      <c r="C117">
        <v>1927.207617465514</v>
      </c>
      <c r="K117">
        <v>89</v>
      </c>
      <c r="L117">
        <v>3910.754417208585</v>
      </c>
      <c r="M117">
        <v>2132.745582791415</v>
      </c>
    </row>
    <row r="118" spans="1:13" x14ac:dyDescent="0.25">
      <c r="A118">
        <v>94</v>
      </c>
      <c r="B118">
        <v>2756.5210253872674</v>
      </c>
      <c r="C118">
        <v>-605.5210253872674</v>
      </c>
      <c r="K118">
        <v>90</v>
      </c>
      <c r="L118">
        <v>2364.0938005779813</v>
      </c>
      <c r="M118">
        <v>627.50619942201865</v>
      </c>
    </row>
    <row r="119" spans="1:13" x14ac:dyDescent="0.25">
      <c r="A119">
        <v>95</v>
      </c>
      <c r="B119">
        <v>2824.6171422695907</v>
      </c>
      <c r="C119">
        <v>-441.41714226959084</v>
      </c>
      <c r="K119">
        <v>91</v>
      </c>
      <c r="L119">
        <v>2711.4918801336162</v>
      </c>
      <c r="M119">
        <v>521.308119866384</v>
      </c>
    </row>
    <row r="120" spans="1:13" x14ac:dyDescent="0.25">
      <c r="A120">
        <v>96</v>
      </c>
      <c r="B120">
        <v>2347.9443240933238</v>
      </c>
      <c r="C120">
        <v>-1347.5943240933238</v>
      </c>
      <c r="K120">
        <v>92</v>
      </c>
      <c r="L120">
        <v>3473.0999929444665</v>
      </c>
      <c r="M120">
        <v>-221.84999294446652</v>
      </c>
    </row>
    <row r="121" spans="1:13" x14ac:dyDescent="0.25">
      <c r="A121">
        <v>97</v>
      </c>
      <c r="B121">
        <v>2211.7520903286759</v>
      </c>
      <c r="C121">
        <v>2543.2479096713241</v>
      </c>
      <c r="K121">
        <v>93</v>
      </c>
      <c r="L121">
        <v>3138.0945032351792</v>
      </c>
      <c r="M121">
        <v>1171.1054967648206</v>
      </c>
    </row>
    <row r="122" spans="1:13" x14ac:dyDescent="0.25">
      <c r="A122">
        <v>98</v>
      </c>
      <c r="B122">
        <v>2892.7132591519148</v>
      </c>
      <c r="C122">
        <v>-1994.9632591519148</v>
      </c>
      <c r="K122">
        <v>94</v>
      </c>
      <c r="L122">
        <v>2406.3006866686087</v>
      </c>
      <c r="M122">
        <v>-255.30068666860871</v>
      </c>
    </row>
    <row r="123" spans="1:13" x14ac:dyDescent="0.25">
      <c r="A123">
        <v>99</v>
      </c>
      <c r="B123">
        <v>2824.6171422695907</v>
      </c>
      <c r="C123">
        <v>1808.5828577304092</v>
      </c>
      <c r="K123">
        <v>95</v>
      </c>
      <c r="L123">
        <v>2079.7803754981992</v>
      </c>
      <c r="M123">
        <v>303.41962450180063</v>
      </c>
    </row>
    <row r="124" spans="1:13" ht="15.75" thickBot="1" x14ac:dyDescent="0.3">
      <c r="A124" s="23">
        <v>100</v>
      </c>
      <c r="B124" s="23">
        <v>2313.8962656521617</v>
      </c>
      <c r="C124" s="23">
        <v>-1544.8962656521617</v>
      </c>
      <c r="K124">
        <v>96</v>
      </c>
      <c r="L124">
        <v>1008.7883814542706</v>
      </c>
      <c r="M124">
        <v>-8.4383814542705977</v>
      </c>
    </row>
    <row r="125" spans="1:13" x14ac:dyDescent="0.25">
      <c r="K125">
        <v>97</v>
      </c>
      <c r="L125">
        <v>2732.7679821339752</v>
      </c>
      <c r="M125">
        <v>2022.2320178660248</v>
      </c>
    </row>
    <row r="126" spans="1:13" x14ac:dyDescent="0.25">
      <c r="K126">
        <v>98</v>
      </c>
      <c r="L126">
        <v>1391.5415086392504</v>
      </c>
      <c r="M126">
        <v>-493.79150863925042</v>
      </c>
    </row>
    <row r="127" spans="1:13" x14ac:dyDescent="0.25">
      <c r="K127">
        <v>99</v>
      </c>
      <c r="L127">
        <v>3645.6772854836859</v>
      </c>
      <c r="M127">
        <v>987.52271451631395</v>
      </c>
    </row>
    <row r="128" spans="1:13" ht="15.75" thickBot="1" x14ac:dyDescent="0.3">
      <c r="K128" s="23">
        <v>100</v>
      </c>
      <c r="L128" s="23">
        <v>2313.2178439803533</v>
      </c>
      <c r="M128" s="23">
        <v>-1544.2178439803533</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B27730-9586-4645-A463-D52888E8A7A0}">
  <sheetPr codeName="Hoja10"/>
  <dimension ref="A1:AC46"/>
  <sheetViews>
    <sheetView workbookViewId="0">
      <selection activeCell="O5" sqref="O5:O8"/>
    </sheetView>
  </sheetViews>
  <sheetFormatPr baseColWidth="10" defaultRowHeight="15" x14ac:dyDescent="0.25"/>
  <cols>
    <col min="20" max="20" width="25" customWidth="1"/>
    <col min="27" max="28" width="32" customWidth="1"/>
    <col min="29" max="29" width="13.28515625" customWidth="1"/>
  </cols>
  <sheetData>
    <row r="1" spans="1:29" x14ac:dyDescent="0.25">
      <c r="A1" s="31" t="s">
        <v>22</v>
      </c>
      <c r="B1" s="31" t="s">
        <v>32</v>
      </c>
      <c r="C1" s="31" t="s">
        <v>41</v>
      </c>
      <c r="D1" s="31" t="s">
        <v>44</v>
      </c>
      <c r="F1" t="s">
        <v>323</v>
      </c>
      <c r="Q1" s="31" t="s">
        <v>23</v>
      </c>
      <c r="R1" s="31" t="s">
        <v>33</v>
      </c>
      <c r="T1" t="s">
        <v>342</v>
      </c>
      <c r="X1" s="30" t="s">
        <v>351</v>
      </c>
      <c r="Y1" s="30" t="s">
        <v>352</v>
      </c>
      <c r="AA1" t="s">
        <v>342</v>
      </c>
    </row>
    <row r="2" spans="1:29" ht="15.75" thickBot="1" x14ac:dyDescent="0.3">
      <c r="A2" s="3">
        <v>1056</v>
      </c>
      <c r="B2" s="3">
        <v>1666.8</v>
      </c>
      <c r="C2" s="3">
        <v>352.45</v>
      </c>
      <c r="D2" s="3">
        <v>2068.1999999999998</v>
      </c>
      <c r="K2" t="s">
        <v>341</v>
      </c>
      <c r="Q2" s="3">
        <v>4.8</v>
      </c>
      <c r="R2" s="3">
        <v>3.4</v>
      </c>
      <c r="X2">
        <v>1666.8</v>
      </c>
      <c r="Y2">
        <v>893</v>
      </c>
    </row>
    <row r="3" spans="1:29" ht="15.75" thickBot="1" x14ac:dyDescent="0.3">
      <c r="A3" s="3">
        <v>6585</v>
      </c>
      <c r="B3" s="3">
        <v>2782.8</v>
      </c>
      <c r="C3" s="3">
        <v>3630</v>
      </c>
      <c r="D3" s="3">
        <v>1084.9000000000001</v>
      </c>
      <c r="F3" t="s">
        <v>324</v>
      </c>
      <c r="Q3" s="3">
        <v>4.4000000000000004</v>
      </c>
      <c r="R3" s="3">
        <v>4.9000000000000004</v>
      </c>
      <c r="T3" s="24"/>
      <c r="U3" s="24" t="s">
        <v>23</v>
      </c>
      <c r="V3" s="24" t="s">
        <v>33</v>
      </c>
      <c r="X3">
        <v>909.5</v>
      </c>
      <c r="Y3">
        <v>3423</v>
      </c>
      <c r="AA3" s="24"/>
      <c r="AB3" s="24" t="s">
        <v>351</v>
      </c>
      <c r="AC3" s="24" t="s">
        <v>352</v>
      </c>
    </row>
    <row r="4" spans="1:29" x14ac:dyDescent="0.25">
      <c r="A4" s="3">
        <v>909.5</v>
      </c>
      <c r="B4" s="3">
        <v>4454</v>
      </c>
      <c r="C4" s="3">
        <v>957.6</v>
      </c>
      <c r="D4" s="3">
        <v>893</v>
      </c>
      <c r="F4" s="24" t="s">
        <v>325</v>
      </c>
      <c r="G4" s="24" t="s">
        <v>326</v>
      </c>
      <c r="H4" s="24" t="s">
        <v>327</v>
      </c>
      <c r="I4" s="24" t="s">
        <v>328</v>
      </c>
      <c r="J4" s="24" t="s">
        <v>329</v>
      </c>
      <c r="K4" t="s">
        <v>336</v>
      </c>
      <c r="L4" t="s">
        <v>337</v>
      </c>
      <c r="M4" t="s">
        <v>338</v>
      </c>
      <c r="N4" t="s">
        <v>339</v>
      </c>
      <c r="O4" t="s">
        <v>340</v>
      </c>
      <c r="Q4" s="3">
        <v>4.9000000000000004</v>
      </c>
      <c r="R4" s="3">
        <v>3.5</v>
      </c>
      <c r="T4" t="s">
        <v>245</v>
      </c>
      <c r="U4">
        <v>3.9620689655172416</v>
      </c>
      <c r="V4">
        <v>3.9151515151515155</v>
      </c>
      <c r="X4">
        <v>2068.1999999999998</v>
      </c>
      <c r="Y4">
        <v>2228</v>
      </c>
      <c r="AA4" t="s">
        <v>245</v>
      </c>
      <c r="AB4">
        <v>2304.085</v>
      </c>
      <c r="AC4">
        <v>2554.3076923076924</v>
      </c>
    </row>
    <row r="5" spans="1:29" x14ac:dyDescent="0.25">
      <c r="A5" s="3">
        <v>3423</v>
      </c>
      <c r="B5" s="3">
        <v>1720</v>
      </c>
      <c r="C5" s="3">
        <v>1299.5999999999999</v>
      </c>
      <c r="D5" s="3">
        <v>4295</v>
      </c>
      <c r="F5" t="s">
        <v>22</v>
      </c>
      <c r="G5">
        <v>26</v>
      </c>
      <c r="H5">
        <v>64084.999999999993</v>
      </c>
      <c r="I5">
        <v>2464.8076923076919</v>
      </c>
      <c r="J5">
        <v>2329927.3099384629</v>
      </c>
      <c r="K5">
        <f>SQRT(J5)</f>
        <v>1526.409941640339</v>
      </c>
      <c r="L5">
        <f>K5/SQRT(G5)</f>
        <v>299.35361839100432</v>
      </c>
      <c r="M5">
        <f>TINV(0.05,G5-1)</f>
        <v>2.0595385527532977</v>
      </c>
      <c r="N5">
        <f>I5-(L5*M5)</f>
        <v>1848.2773743252201</v>
      </c>
      <c r="O5">
        <f>I5+(N5*M5)</f>
        <v>6271.4062009121208</v>
      </c>
      <c r="Q5" s="3">
        <v>4.5</v>
      </c>
      <c r="R5" s="3">
        <v>4.0999999999999996</v>
      </c>
      <c r="T5" t="s">
        <v>329</v>
      </c>
      <c r="U5">
        <v>0.2981527093596047</v>
      </c>
      <c r="V5">
        <v>0.23445075757575573</v>
      </c>
      <c r="X5">
        <v>1084.9000000000001</v>
      </c>
      <c r="Y5">
        <v>1376</v>
      </c>
      <c r="AA5" t="s">
        <v>329</v>
      </c>
      <c r="AB5">
        <v>1810926.4373947382</v>
      </c>
      <c r="AC5">
        <v>1852385.8974358973</v>
      </c>
    </row>
    <row r="6" spans="1:29" x14ac:dyDescent="0.25">
      <c r="A6" s="3">
        <v>2451.6</v>
      </c>
      <c r="B6" s="3">
        <v>3225.75</v>
      </c>
      <c r="C6" s="3">
        <v>2228</v>
      </c>
      <c r="D6" s="3">
        <v>1376</v>
      </c>
      <c r="F6" t="s">
        <v>32</v>
      </c>
      <c r="G6">
        <v>24</v>
      </c>
      <c r="H6">
        <v>58342.500000000007</v>
      </c>
      <c r="I6">
        <v>2430.9375000000005</v>
      </c>
      <c r="J6">
        <v>2200873.7091847812</v>
      </c>
      <c r="K6">
        <f t="shared" ref="K6:K8" si="0">SQRT(J6)</f>
        <v>1483.5341954888606</v>
      </c>
      <c r="L6">
        <f t="shared" ref="L6:L8" si="1">K6/SQRT(G6)</f>
        <v>302.82514957650488</v>
      </c>
      <c r="M6">
        <f t="shared" ref="M6:M8" si="2">TINV(0.05,G6-1)</f>
        <v>2.0686576104190491</v>
      </c>
      <c r="N6">
        <f t="shared" ref="N6:N8" si="3">I6-(L6*M6)</f>
        <v>1804.4959497022769</v>
      </c>
      <c r="O6">
        <f t="shared" ref="O6:O8" si="4">I6+(N6*M6)</f>
        <v>6163.8217793219646</v>
      </c>
      <c r="Q6" s="3">
        <v>3.6</v>
      </c>
      <c r="R6" s="3">
        <v>3.3</v>
      </c>
      <c r="T6" t="s">
        <v>287</v>
      </c>
      <c r="U6">
        <v>29</v>
      </c>
      <c r="V6">
        <v>33</v>
      </c>
      <c r="X6">
        <v>3225.75</v>
      </c>
      <c r="Y6">
        <v>3468</v>
      </c>
      <c r="AA6" t="s">
        <v>287</v>
      </c>
      <c r="AB6">
        <v>20</v>
      </c>
      <c r="AC6">
        <v>13</v>
      </c>
    </row>
    <row r="7" spans="1:29" x14ac:dyDescent="0.25">
      <c r="A7" s="3">
        <v>4080</v>
      </c>
      <c r="B7" s="3">
        <v>1850</v>
      </c>
      <c r="C7" s="3">
        <v>5032</v>
      </c>
      <c r="D7" s="3">
        <v>1083</v>
      </c>
      <c r="F7" t="s">
        <v>41</v>
      </c>
      <c r="G7">
        <v>22</v>
      </c>
      <c r="H7">
        <v>57544.549999999996</v>
      </c>
      <c r="I7">
        <v>2615.6613636363636</v>
      </c>
      <c r="J7">
        <v>1669475.1721266238</v>
      </c>
      <c r="K7">
        <f t="shared" si="0"/>
        <v>1292.0817203747695</v>
      </c>
      <c r="L7">
        <f t="shared" si="1"/>
        <v>275.4727483738904</v>
      </c>
      <c r="M7">
        <f t="shared" si="2"/>
        <v>2.07961384472768</v>
      </c>
      <c r="N7">
        <f t="shared" si="3"/>
        <v>2042.7844222728368</v>
      </c>
      <c r="O7">
        <f t="shared" si="4"/>
        <v>6863.8641299889905</v>
      </c>
      <c r="Q7" s="3">
        <v>4</v>
      </c>
      <c r="R7" s="3">
        <v>3.2</v>
      </c>
      <c r="T7" t="s">
        <v>343</v>
      </c>
      <c r="U7">
        <v>0</v>
      </c>
      <c r="X7">
        <v>828.9</v>
      </c>
      <c r="Y7">
        <v>1083</v>
      </c>
      <c r="AA7" t="s">
        <v>343</v>
      </c>
      <c r="AB7">
        <v>0</v>
      </c>
    </row>
    <row r="8" spans="1:29" ht="15.75" thickBot="1" x14ac:dyDescent="0.3">
      <c r="A8" s="3">
        <v>750.5</v>
      </c>
      <c r="B8" s="3">
        <v>3468</v>
      </c>
      <c r="C8" s="3">
        <v>5126.2</v>
      </c>
      <c r="D8" s="3">
        <v>4760</v>
      </c>
      <c r="F8" s="23" t="s">
        <v>44</v>
      </c>
      <c r="G8" s="23">
        <v>28</v>
      </c>
      <c r="H8" s="23">
        <v>75557.649999999994</v>
      </c>
      <c r="I8" s="23">
        <v>2698.4874999999997</v>
      </c>
      <c r="J8" s="23">
        <v>1940791.6806712989</v>
      </c>
      <c r="K8">
        <f t="shared" si="0"/>
        <v>1393.1229955288582</v>
      </c>
      <c r="L8">
        <f t="shared" si="1"/>
        <v>263.27549942105043</v>
      </c>
      <c r="M8">
        <f t="shared" si="2"/>
        <v>2.0518305164802859</v>
      </c>
      <c r="N8">
        <f t="shared" si="3"/>
        <v>2158.2907960463008</v>
      </c>
      <c r="O8">
        <f t="shared" si="4"/>
        <v>7126.9344187663282</v>
      </c>
      <c r="Q8" s="3">
        <v>3.1</v>
      </c>
      <c r="R8" s="3">
        <v>4.0999999999999996</v>
      </c>
      <c r="T8" t="s">
        <v>293</v>
      </c>
      <c r="U8">
        <v>56</v>
      </c>
      <c r="X8">
        <v>711</v>
      </c>
      <c r="Y8">
        <v>1630</v>
      </c>
      <c r="AA8" t="s">
        <v>293</v>
      </c>
      <c r="AB8">
        <v>26</v>
      </c>
    </row>
    <row r="9" spans="1:29" x14ac:dyDescent="0.25">
      <c r="A9" s="3">
        <v>1920.6</v>
      </c>
      <c r="B9" s="3">
        <v>1485</v>
      </c>
      <c r="C9" s="3">
        <v>3072.3</v>
      </c>
      <c r="D9" s="3">
        <v>2638.4</v>
      </c>
      <c r="F9" t="s">
        <v>335</v>
      </c>
      <c r="Q9" s="3">
        <v>3.5</v>
      </c>
      <c r="R9" s="3">
        <v>4.5</v>
      </c>
      <c r="T9" t="s">
        <v>299</v>
      </c>
      <c r="U9">
        <v>0.3558265570984393</v>
      </c>
      <c r="X9">
        <v>4042.25</v>
      </c>
      <c r="Y9">
        <v>1380</v>
      </c>
      <c r="AA9" t="s">
        <v>299</v>
      </c>
      <c r="AB9">
        <v>-0.51833883065822861</v>
      </c>
    </row>
    <row r="10" spans="1:29" x14ac:dyDescent="0.25">
      <c r="A10" s="3">
        <v>1630</v>
      </c>
      <c r="B10" s="3">
        <v>1908</v>
      </c>
      <c r="C10" s="3">
        <v>1288.2</v>
      </c>
      <c r="D10" s="3">
        <v>2361.3000000000002</v>
      </c>
      <c r="Q10" s="3">
        <v>3.4</v>
      </c>
      <c r="R10" s="3">
        <v>4</v>
      </c>
      <c r="T10" t="s">
        <v>344</v>
      </c>
      <c r="U10" s="27">
        <v>0.36165370924598927</v>
      </c>
      <c r="X10">
        <v>3271.8</v>
      </c>
      <c r="Y10">
        <v>2316</v>
      </c>
      <c r="AA10" t="s">
        <v>344</v>
      </c>
      <c r="AB10">
        <v>0.30430265459489553</v>
      </c>
    </row>
    <row r="11" spans="1:29" ht="15.75" thickBot="1" x14ac:dyDescent="0.3">
      <c r="A11" s="3">
        <v>1380</v>
      </c>
      <c r="B11" s="3">
        <v>828.9</v>
      </c>
      <c r="C11" s="3">
        <v>4182</v>
      </c>
      <c r="D11" s="3">
        <v>3515</v>
      </c>
      <c r="F11" t="s">
        <v>288</v>
      </c>
      <c r="Q11" s="3">
        <v>3.8</v>
      </c>
      <c r="R11" s="3">
        <v>4.0999999999999996</v>
      </c>
      <c r="T11" t="s">
        <v>345</v>
      </c>
      <c r="U11">
        <v>1.6725223030755785</v>
      </c>
      <c r="X11">
        <v>4042.6</v>
      </c>
      <c r="Y11">
        <v>4410</v>
      </c>
      <c r="AA11" t="s">
        <v>345</v>
      </c>
      <c r="AB11">
        <v>1.7056179197592738</v>
      </c>
    </row>
    <row r="12" spans="1:29" x14ac:dyDescent="0.25">
      <c r="A12" s="3">
        <v>711</v>
      </c>
      <c r="B12" s="3">
        <v>4042.6</v>
      </c>
      <c r="C12" s="3">
        <v>2138.4</v>
      </c>
      <c r="D12" s="3">
        <v>2712</v>
      </c>
      <c r="F12" s="24" t="s">
        <v>330</v>
      </c>
      <c r="G12" s="24" t="s">
        <v>294</v>
      </c>
      <c r="H12" s="24" t="s">
        <v>293</v>
      </c>
      <c r="I12" s="24" t="s">
        <v>295</v>
      </c>
      <c r="J12" s="24" t="s">
        <v>296</v>
      </c>
      <c r="K12" s="24" t="s">
        <v>300</v>
      </c>
      <c r="L12" s="24" t="s">
        <v>331</v>
      </c>
      <c r="Q12" s="3">
        <v>4.8</v>
      </c>
      <c r="R12" s="3">
        <v>3.3</v>
      </c>
      <c r="T12" t="s">
        <v>346</v>
      </c>
      <c r="U12">
        <v>0.72330741849197855</v>
      </c>
      <c r="X12">
        <v>1102.45</v>
      </c>
      <c r="Y12">
        <v>5240</v>
      </c>
      <c r="AA12" t="s">
        <v>346</v>
      </c>
      <c r="AB12">
        <v>0.60860530918979105</v>
      </c>
    </row>
    <row r="13" spans="1:29" ht="15.75" thickBot="1" x14ac:dyDescent="0.3">
      <c r="A13" s="3">
        <v>4042.25</v>
      </c>
      <c r="B13" s="3">
        <v>1102.45</v>
      </c>
      <c r="C13" s="3">
        <v>3271.8</v>
      </c>
      <c r="D13" s="3">
        <v>2080.8000000000002</v>
      </c>
      <c r="F13" t="s">
        <v>332</v>
      </c>
      <c r="G13">
        <v>1238326.4116044044</v>
      </c>
      <c r="H13">
        <v>3</v>
      </c>
      <c r="I13">
        <v>412775.47053480148</v>
      </c>
      <c r="J13">
        <v>0.20183732121530473</v>
      </c>
      <c r="K13" s="27">
        <v>0.89488793122343613</v>
      </c>
      <c r="L13">
        <v>2.6993925975521802</v>
      </c>
      <c r="Q13" s="3">
        <v>3.6</v>
      </c>
      <c r="R13" s="3">
        <v>4.0999999999999996</v>
      </c>
      <c r="T13" s="23" t="s">
        <v>347</v>
      </c>
      <c r="U13" s="23">
        <v>2.0032407188478727</v>
      </c>
      <c r="V13" s="23"/>
      <c r="X13">
        <v>2875.5</v>
      </c>
      <c r="Y13">
        <v>3608</v>
      </c>
      <c r="AA13" s="23" t="s">
        <v>347</v>
      </c>
      <c r="AB13" s="23">
        <v>2.0555294386428731</v>
      </c>
      <c r="AC13" s="23"/>
    </row>
    <row r="14" spans="1:29" x14ac:dyDescent="0.25">
      <c r="A14" s="3">
        <v>1912</v>
      </c>
      <c r="B14" s="3">
        <v>1716</v>
      </c>
      <c r="C14" s="3">
        <v>3524</v>
      </c>
      <c r="D14" s="3">
        <v>2893.4</v>
      </c>
      <c r="F14" t="s">
        <v>333</v>
      </c>
      <c r="G14">
        <v>196328632.05249566</v>
      </c>
      <c r="H14">
        <v>96</v>
      </c>
      <c r="I14">
        <v>2045089.9172134965</v>
      </c>
      <c r="Q14" s="3">
        <v>3.9</v>
      </c>
      <c r="R14" s="3">
        <v>4.5999999999999996</v>
      </c>
      <c r="X14">
        <v>5027.75</v>
      </c>
      <c r="Y14">
        <v>2151</v>
      </c>
    </row>
    <row r="15" spans="1:29" x14ac:dyDescent="0.25">
      <c r="A15" s="3">
        <v>2875.5</v>
      </c>
      <c r="B15" s="3">
        <v>1401</v>
      </c>
      <c r="C15" s="3">
        <v>3307.5</v>
      </c>
      <c r="D15" s="3">
        <v>5208</v>
      </c>
      <c r="Q15" s="3">
        <v>3.7</v>
      </c>
      <c r="R15" s="3">
        <v>4.3</v>
      </c>
      <c r="T15" t="s">
        <v>348</v>
      </c>
      <c r="X15">
        <v>3307.5</v>
      </c>
      <c r="AA15" t="s">
        <v>353</v>
      </c>
    </row>
    <row r="16" spans="1:29" ht="15.75" thickBot="1" x14ac:dyDescent="0.3">
      <c r="A16" s="3">
        <v>2316</v>
      </c>
      <c r="B16" s="3">
        <v>4410</v>
      </c>
      <c r="C16" s="3">
        <v>2104.1999999999998</v>
      </c>
      <c r="D16" s="3">
        <v>4375</v>
      </c>
      <c r="F16" s="23" t="s">
        <v>291</v>
      </c>
      <c r="G16" s="23">
        <v>197566958.46410006</v>
      </c>
      <c r="H16" s="23">
        <v>99</v>
      </c>
      <c r="I16" s="23"/>
      <c r="J16" s="23"/>
      <c r="K16" s="23"/>
      <c r="L16" s="23"/>
      <c r="Q16" s="3">
        <v>3.9</v>
      </c>
      <c r="R16" s="3">
        <v>3.4</v>
      </c>
      <c r="T16" t="s">
        <v>349</v>
      </c>
      <c r="X16">
        <v>568.1</v>
      </c>
      <c r="AA16" t="s">
        <v>354</v>
      </c>
    </row>
    <row r="17" spans="1:27" x14ac:dyDescent="0.25">
      <c r="A17" s="3">
        <v>5027.75</v>
      </c>
      <c r="B17" s="3">
        <v>698.25</v>
      </c>
      <c r="C17" s="3">
        <v>814.5</v>
      </c>
      <c r="D17" s="3">
        <v>568.1</v>
      </c>
      <c r="Q17" s="3">
        <v>3.4</v>
      </c>
      <c r="R17" s="3">
        <v>3.2</v>
      </c>
      <c r="T17" t="s">
        <v>350</v>
      </c>
      <c r="X17">
        <v>698.25</v>
      </c>
      <c r="AA17" t="s">
        <v>355</v>
      </c>
    </row>
    <row r="18" spans="1:27" x14ac:dyDescent="0.25">
      <c r="A18" s="3">
        <v>2561.1999999999998</v>
      </c>
      <c r="B18" s="3">
        <v>2221.0500000000002</v>
      </c>
      <c r="C18" s="3">
        <v>1536.8</v>
      </c>
      <c r="D18" s="3">
        <v>3353.4</v>
      </c>
      <c r="F18" t="s">
        <v>334</v>
      </c>
      <c r="Q18" s="3">
        <v>4.5</v>
      </c>
      <c r="R18" s="3">
        <v>3.9</v>
      </c>
      <c r="X18">
        <v>3353.4</v>
      </c>
    </row>
    <row r="19" spans="1:27" x14ac:dyDescent="0.25">
      <c r="A19" s="3">
        <v>3859</v>
      </c>
      <c r="B19" s="3">
        <v>3608</v>
      </c>
      <c r="C19" s="3">
        <v>2156</v>
      </c>
      <c r="D19" s="3">
        <v>2823</v>
      </c>
      <c r="Q19" s="3">
        <v>4.0999999999999996</v>
      </c>
      <c r="R19" s="3">
        <v>3.7</v>
      </c>
      <c r="X19">
        <v>2221.0500000000002</v>
      </c>
    </row>
    <row r="20" spans="1:27" x14ac:dyDescent="0.25">
      <c r="A20" s="3">
        <v>1548</v>
      </c>
      <c r="B20" s="3">
        <v>906.3</v>
      </c>
      <c r="C20" s="3">
        <v>3040.95</v>
      </c>
      <c r="D20" s="3">
        <v>3029.4</v>
      </c>
      <c r="Q20" s="3">
        <v>4.5999999999999996</v>
      </c>
      <c r="R20" s="3">
        <v>4.4000000000000004</v>
      </c>
      <c r="X20">
        <v>1843.2</v>
      </c>
    </row>
    <row r="21" spans="1:27" x14ac:dyDescent="0.25">
      <c r="A21" s="3">
        <v>891.65</v>
      </c>
      <c r="B21" s="3">
        <v>6043.5</v>
      </c>
      <c r="C21" s="3">
        <v>2239.1999999999998</v>
      </c>
      <c r="D21" s="3">
        <v>5240</v>
      </c>
      <c r="Q21" s="3">
        <v>4.4000000000000004</v>
      </c>
      <c r="R21" s="3">
        <v>3.8</v>
      </c>
      <c r="X21">
        <v>3232.8</v>
      </c>
    </row>
    <row r="22" spans="1:27" x14ac:dyDescent="0.25">
      <c r="A22" s="3">
        <v>2648.6</v>
      </c>
      <c r="B22" s="3">
        <v>2151</v>
      </c>
      <c r="C22" s="3">
        <v>2991.6</v>
      </c>
      <c r="D22" s="3">
        <v>2886</v>
      </c>
      <c r="Q22" s="3">
        <v>3.7</v>
      </c>
      <c r="R22" s="3">
        <v>4.3</v>
      </c>
    </row>
    <row r="23" spans="1:27" x14ac:dyDescent="0.25">
      <c r="A23" s="3">
        <v>3368.55</v>
      </c>
      <c r="B23" s="3">
        <v>1000.35</v>
      </c>
      <c r="C23" s="3">
        <v>3251.25</v>
      </c>
      <c r="D23" s="3">
        <v>2964</v>
      </c>
      <c r="Q23" s="3">
        <v>3.2</v>
      </c>
      <c r="R23" s="3">
        <v>4</v>
      </c>
    </row>
    <row r="24" spans="1:27" x14ac:dyDescent="0.25">
      <c r="A24" s="3">
        <v>675.9</v>
      </c>
      <c r="B24" s="3">
        <v>4755</v>
      </c>
      <c r="C24" s="3"/>
      <c r="D24" s="3">
        <v>1041</v>
      </c>
      <c r="Q24" s="3">
        <v>3.9</v>
      </c>
      <c r="R24" s="3">
        <v>3.4</v>
      </c>
    </row>
    <row r="25" spans="1:27" x14ac:dyDescent="0.25">
      <c r="A25" s="3">
        <v>4309.2</v>
      </c>
      <c r="B25" s="3">
        <v>897.75</v>
      </c>
      <c r="C25" s="3"/>
      <c r="D25" s="3">
        <v>407.15</v>
      </c>
      <c r="Q25" s="3">
        <v>4.7</v>
      </c>
      <c r="R25" s="3">
        <v>3.9</v>
      </c>
    </row>
    <row r="26" spans="1:27" x14ac:dyDescent="0.25">
      <c r="A26" s="3">
        <v>2383.1999999999998</v>
      </c>
      <c r="B26" s="3"/>
      <c r="C26" s="3"/>
      <c r="D26" s="3">
        <v>2192.4</v>
      </c>
      <c r="Q26" s="3">
        <v>3.7</v>
      </c>
      <c r="R26" s="3">
        <v>3.6</v>
      </c>
    </row>
    <row r="27" spans="1:27" x14ac:dyDescent="0.25">
      <c r="A27" s="3">
        <v>769</v>
      </c>
      <c r="B27" s="3"/>
      <c r="C27" s="3"/>
      <c r="D27" s="3">
        <v>1843.2</v>
      </c>
      <c r="Q27" s="3">
        <v>3.5</v>
      </c>
      <c r="R27" s="3">
        <v>4.8</v>
      </c>
    </row>
    <row r="28" spans="1:27" x14ac:dyDescent="0.25">
      <c r="D28">
        <v>3232.8</v>
      </c>
      <c r="Q28" s="3">
        <v>3.8</v>
      </c>
      <c r="R28" s="3">
        <v>3.5</v>
      </c>
    </row>
    <row r="29" spans="1:27" x14ac:dyDescent="0.25">
      <c r="D29">
        <v>4633.2</v>
      </c>
      <c r="Q29" s="3">
        <v>4.5</v>
      </c>
      <c r="R29" s="3">
        <v>4.0999999999999996</v>
      </c>
    </row>
    <row r="30" spans="1:27" x14ac:dyDescent="0.25">
      <c r="Q30" s="3">
        <v>3</v>
      </c>
      <c r="R30" s="3">
        <v>4.5999999999999996</v>
      </c>
    </row>
    <row r="31" spans="1:27" x14ac:dyDescent="0.25">
      <c r="R31">
        <v>3.9</v>
      </c>
    </row>
    <row r="32" spans="1:27" x14ac:dyDescent="0.25">
      <c r="R32">
        <v>4.4000000000000004</v>
      </c>
    </row>
    <row r="33" spans="18:24" x14ac:dyDescent="0.25">
      <c r="R33">
        <v>3.5</v>
      </c>
    </row>
    <row r="34" spans="18:24" x14ac:dyDescent="0.25">
      <c r="R34">
        <v>3.4</v>
      </c>
    </row>
    <row r="40" spans="18:24" x14ac:dyDescent="0.25">
      <c r="W40" t="s">
        <v>358</v>
      </c>
    </row>
    <row r="42" spans="18:24" x14ac:dyDescent="0.25">
      <c r="W42" t="s">
        <v>359</v>
      </c>
      <c r="X42">
        <f>AVERAGE(Datos_Ventas_Completos!N2:N101)</f>
        <v>4.32</v>
      </c>
    </row>
    <row r="43" spans="18:24" x14ac:dyDescent="0.25">
      <c r="W43" t="s">
        <v>360</v>
      </c>
      <c r="X43">
        <f>_xlfn.STDEV.P(Datos_Ventas_Completos!N2:N101)</f>
        <v>2.0439178065665948</v>
      </c>
    </row>
    <row r="44" spans="18:24" x14ac:dyDescent="0.25">
      <c r="W44" t="s">
        <v>361</v>
      </c>
      <c r="X44" s="32">
        <f>_xlfn.NORM.DIST(3,X42,X43,TRUE)</f>
        <v>0.2591984419922857</v>
      </c>
    </row>
    <row r="46" spans="18:24" x14ac:dyDescent="0.25">
      <c r="W46" t="s">
        <v>362</v>
      </c>
    </row>
  </sheetData>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E9CFFD-948D-470E-AAA2-5CD52C224FCA}">
  <sheetPr codeName="Hoja11"/>
  <dimension ref="A1:H68"/>
  <sheetViews>
    <sheetView topLeftCell="A7" workbookViewId="0">
      <selection activeCell="E10" activeCellId="3" sqref="A10:A14 B10:B14 D10:D14 E10:E14"/>
    </sheetView>
  </sheetViews>
  <sheetFormatPr baseColWidth="10" defaultRowHeight="15" x14ac:dyDescent="0.25"/>
  <cols>
    <col min="1" max="1" width="17.5703125" bestFit="1" customWidth="1"/>
    <col min="2" max="2" width="24.140625" bestFit="1" customWidth="1"/>
    <col min="3" max="3" width="13.140625" customWidth="1"/>
    <col min="6" max="6" width="17.5703125" bestFit="1" customWidth="1"/>
    <col min="7" max="7" width="24.140625" bestFit="1" customWidth="1"/>
    <col min="8" max="8" width="17" bestFit="1" customWidth="1"/>
  </cols>
  <sheetData>
    <row r="1" spans="1:5" x14ac:dyDescent="0.25">
      <c r="A1" t="s">
        <v>363</v>
      </c>
    </row>
    <row r="3" spans="1:5" x14ac:dyDescent="0.25">
      <c r="A3" t="s">
        <v>364</v>
      </c>
      <c r="B3">
        <f>SUM(Datos_Ventas_Completos!J:J)</f>
        <v>255529.7</v>
      </c>
    </row>
    <row r="4" spans="1:5" x14ac:dyDescent="0.25">
      <c r="A4" t="s">
        <v>365</v>
      </c>
      <c r="B4" s="15">
        <f>AVERAGE(Datos_Ventas_Completos!M:M)</f>
        <v>3.9909999999999997</v>
      </c>
    </row>
    <row r="5" spans="1:5" x14ac:dyDescent="0.25">
      <c r="A5" t="s">
        <v>366</v>
      </c>
      <c r="B5">
        <v>100</v>
      </c>
    </row>
    <row r="6" spans="1:5" x14ac:dyDescent="0.25">
      <c r="A6" t="s">
        <v>367</v>
      </c>
      <c r="B6" s="33">
        <f>AVERAGE(Datos_Ventas_Completos!Q:Q)</f>
        <v>0.29932870615251728</v>
      </c>
    </row>
    <row r="9" spans="1:5" x14ac:dyDescent="0.25">
      <c r="A9" t="s">
        <v>368</v>
      </c>
    </row>
    <row r="10" spans="1:5" x14ac:dyDescent="0.25">
      <c r="A10" s="36" t="s">
        <v>369</v>
      </c>
      <c r="B10" s="36" t="s">
        <v>320</v>
      </c>
      <c r="C10" s="36" t="s">
        <v>366</v>
      </c>
      <c r="D10" s="36" t="s">
        <v>370</v>
      </c>
      <c r="E10" s="36" t="s">
        <v>371</v>
      </c>
    </row>
    <row r="11" spans="1:5" x14ac:dyDescent="0.25">
      <c r="A11" t="s">
        <v>22</v>
      </c>
      <c r="B11" s="34">
        <f>SUMIF(Datos_Ventas_Completos!C:C,"Norte",Datos_Ventas_Completos!J:J)</f>
        <v>64084.999999999993</v>
      </c>
      <c r="C11" s="3">
        <f>COUNTIF(Datos_Ventas_Completos!C:C,"Norte")</f>
        <v>26</v>
      </c>
      <c r="D11">
        <f>AVERAGEIF(Datos_Ventas_Completos!C:C,"Norte",Datos_Ventas_Completos!M:M)</f>
        <v>4.0269230769230777</v>
      </c>
      <c r="E11" s="35">
        <f>B11/C11</f>
        <v>2464.8076923076919</v>
      </c>
    </row>
    <row r="12" spans="1:5" x14ac:dyDescent="0.25">
      <c r="A12" t="s">
        <v>32</v>
      </c>
      <c r="B12" s="34">
        <f>SUMIF(Datos_Ventas_Completos!C:C,"Sur",Datos_Ventas_Completos!J:J)</f>
        <v>58342.500000000007</v>
      </c>
      <c r="C12" s="3">
        <f>COUNTIF(Datos_Ventas_Completos!C:C,"Sur")</f>
        <v>24</v>
      </c>
      <c r="D12">
        <f>AVERAGEIF(Datos_Ventas_Completos!C:C,"Sur",Datos_Ventas_Completos!M:M)</f>
        <v>4.0374999999999996</v>
      </c>
      <c r="E12" s="35">
        <f t="shared" ref="E12:E14" si="0">B12/C12</f>
        <v>2430.9375000000005</v>
      </c>
    </row>
    <row r="13" spans="1:5" x14ac:dyDescent="0.25">
      <c r="A13" t="s">
        <v>41</v>
      </c>
      <c r="B13" s="34">
        <f>SUMIF(Datos_Ventas_Completos!C:C,"Este",Datos_Ventas_Completos!J:J)</f>
        <v>57544.549999999996</v>
      </c>
      <c r="C13" s="3">
        <f>COUNTIF(Datos_Ventas_Completos!C:C,"Este")</f>
        <v>22</v>
      </c>
      <c r="D13">
        <f>AVERAGEIF(Datos_Ventas_Completos!C:C,"Este",Datos_Ventas_Completos!M:M)</f>
        <v>4.1363636363636367</v>
      </c>
      <c r="E13" s="35">
        <f t="shared" si="0"/>
        <v>2615.6613636363636</v>
      </c>
    </row>
    <row r="14" spans="1:5" x14ac:dyDescent="0.25">
      <c r="A14" t="s">
        <v>44</v>
      </c>
      <c r="B14" s="34">
        <f>SUMIF(Datos_Ventas_Completos!C:C,"Oeste",Datos_Ventas_Completos!J:J)</f>
        <v>75557.649999999994</v>
      </c>
      <c r="C14" s="3">
        <f>COUNTIF(Datos_Ventas_Completos!C:C,"Oeste")</f>
        <v>28</v>
      </c>
      <c r="D14">
        <f>AVERAGEIF(Datos_Ventas_Completos!C:C,"Oeste",Datos_Ventas_Completos!M:M)</f>
        <v>3.8035714285714293</v>
      </c>
      <c r="E14" s="35">
        <f t="shared" si="0"/>
        <v>2698.4874999999997</v>
      </c>
    </row>
    <row r="16" spans="1:5" x14ac:dyDescent="0.25">
      <c r="A16" t="s">
        <v>372</v>
      </c>
    </row>
    <row r="17" spans="1:8" x14ac:dyDescent="0.25">
      <c r="A17" s="36" t="s">
        <v>5</v>
      </c>
      <c r="B17" s="36" t="s">
        <v>364</v>
      </c>
      <c r="C17" s="36" t="s">
        <v>373</v>
      </c>
      <c r="F17" s="8" t="s">
        <v>210</v>
      </c>
      <c r="G17" t="s">
        <v>213</v>
      </c>
      <c r="H17" t="s">
        <v>374</v>
      </c>
    </row>
    <row r="18" spans="1:8" x14ac:dyDescent="0.25">
      <c r="A18" t="s">
        <v>30</v>
      </c>
      <c r="B18" s="34">
        <v>55745.45</v>
      </c>
      <c r="C18" s="3">
        <v>53</v>
      </c>
      <c r="F18" s="5" t="s">
        <v>25</v>
      </c>
      <c r="G18">
        <v>5201.1499999999996</v>
      </c>
      <c r="H18">
        <v>12</v>
      </c>
    </row>
    <row r="19" spans="1:8" x14ac:dyDescent="0.25">
      <c r="A19" t="s">
        <v>78</v>
      </c>
      <c r="B19" s="34">
        <v>42915.599999999991</v>
      </c>
      <c r="C19" s="3">
        <v>40</v>
      </c>
      <c r="F19" s="5" t="s">
        <v>48</v>
      </c>
      <c r="G19">
        <v>18760.8</v>
      </c>
      <c r="H19">
        <v>39</v>
      </c>
    </row>
    <row r="20" spans="1:8" x14ac:dyDescent="0.25">
      <c r="A20" t="s">
        <v>37</v>
      </c>
      <c r="B20" s="34">
        <v>33434.950000000004</v>
      </c>
      <c r="C20" s="3">
        <v>32</v>
      </c>
      <c r="F20" s="5" t="s">
        <v>58</v>
      </c>
      <c r="G20">
        <v>27593.5</v>
      </c>
      <c r="H20">
        <v>46</v>
      </c>
    </row>
    <row r="21" spans="1:8" x14ac:dyDescent="0.25">
      <c r="A21" t="s">
        <v>46</v>
      </c>
      <c r="B21" s="34">
        <v>28120.400000000005</v>
      </c>
      <c r="C21" s="3">
        <v>34</v>
      </c>
      <c r="F21" s="5" t="s">
        <v>211</v>
      </c>
      <c r="G21">
        <v>51555.45</v>
      </c>
      <c r="H21">
        <v>97</v>
      </c>
    </row>
    <row r="22" spans="1:8" x14ac:dyDescent="0.25">
      <c r="A22" t="s">
        <v>58</v>
      </c>
      <c r="B22" s="34">
        <v>27593.499999999996</v>
      </c>
      <c r="C22" s="3">
        <v>46</v>
      </c>
    </row>
    <row r="24" spans="1:8" x14ac:dyDescent="0.25">
      <c r="A24" t="s">
        <v>369</v>
      </c>
      <c r="B24" t="s">
        <v>245</v>
      </c>
      <c r="C24" t="s">
        <v>339</v>
      </c>
      <c r="D24" t="s">
        <v>340</v>
      </c>
    </row>
    <row r="25" spans="1:8" x14ac:dyDescent="0.25">
      <c r="A25" t="s">
        <v>22</v>
      </c>
      <c r="B25" s="5">
        <v>2464.8076923076919</v>
      </c>
      <c r="C25" s="5">
        <v>1848.2773743252201</v>
      </c>
      <c r="D25" s="5">
        <v>6271.4062009121208</v>
      </c>
    </row>
    <row r="26" spans="1:8" x14ac:dyDescent="0.25">
      <c r="A26" t="s">
        <v>32</v>
      </c>
      <c r="B26" s="5">
        <v>2430.9375000000005</v>
      </c>
      <c r="C26" s="5">
        <v>1804.4959497022769</v>
      </c>
      <c r="D26" s="5">
        <v>6163.8217793219646</v>
      </c>
    </row>
    <row r="27" spans="1:8" x14ac:dyDescent="0.25">
      <c r="A27" t="s">
        <v>41</v>
      </c>
      <c r="B27" s="5">
        <v>2615.6613636363636</v>
      </c>
      <c r="C27" s="5">
        <v>2042.7844222728368</v>
      </c>
      <c r="D27" s="5">
        <v>6863.8641299889905</v>
      </c>
    </row>
    <row r="28" spans="1:8" x14ac:dyDescent="0.25">
      <c r="A28" t="s">
        <v>44</v>
      </c>
      <c r="B28" s="5">
        <v>2698.4874999999997</v>
      </c>
      <c r="C28" s="5">
        <v>2158.2907960463008</v>
      </c>
      <c r="D28" s="5">
        <v>7126.9344187663282</v>
      </c>
    </row>
    <row r="31" spans="1:8" x14ac:dyDescent="0.25">
      <c r="A31" s="8" t="s">
        <v>210</v>
      </c>
      <c r="B31" t="s">
        <v>213</v>
      </c>
    </row>
    <row r="32" spans="1:8" x14ac:dyDescent="0.25">
      <c r="A32" s="5" t="s">
        <v>375</v>
      </c>
      <c r="B32">
        <v>22749.9</v>
      </c>
    </row>
    <row r="33" spans="1:2" x14ac:dyDescent="0.25">
      <c r="A33" s="9" t="s">
        <v>378</v>
      </c>
      <c r="B33">
        <v>568.1</v>
      </c>
    </row>
    <row r="34" spans="1:2" x14ac:dyDescent="0.25">
      <c r="A34" s="9" t="s">
        <v>379</v>
      </c>
      <c r="B34">
        <v>3481.05</v>
      </c>
    </row>
    <row r="35" spans="1:2" x14ac:dyDescent="0.25">
      <c r="A35" s="9" t="s">
        <v>380</v>
      </c>
      <c r="B35">
        <v>1000.35</v>
      </c>
    </row>
    <row r="36" spans="1:2" x14ac:dyDescent="0.25">
      <c r="A36" s="9" t="s">
        <v>381</v>
      </c>
      <c r="B36">
        <v>1041</v>
      </c>
    </row>
    <row r="37" spans="1:2" x14ac:dyDescent="0.25">
      <c r="A37" s="9" t="s">
        <v>382</v>
      </c>
      <c r="B37">
        <v>3232.8</v>
      </c>
    </row>
    <row r="38" spans="1:2" x14ac:dyDescent="0.25">
      <c r="A38" s="9" t="s">
        <v>383</v>
      </c>
      <c r="B38">
        <v>675.9</v>
      </c>
    </row>
    <row r="39" spans="1:2" x14ac:dyDescent="0.25">
      <c r="A39" s="9" t="s">
        <v>384</v>
      </c>
      <c r="B39">
        <v>2893.4</v>
      </c>
    </row>
    <row r="40" spans="1:2" x14ac:dyDescent="0.25">
      <c r="A40" s="9" t="s">
        <v>385</v>
      </c>
      <c r="B40">
        <v>4226</v>
      </c>
    </row>
    <row r="41" spans="1:2" x14ac:dyDescent="0.25">
      <c r="A41" s="9" t="s">
        <v>386</v>
      </c>
      <c r="B41">
        <v>2638.4</v>
      </c>
    </row>
    <row r="42" spans="1:2" x14ac:dyDescent="0.25">
      <c r="A42" s="9" t="s">
        <v>387</v>
      </c>
      <c r="B42">
        <v>1084.9000000000001</v>
      </c>
    </row>
    <row r="43" spans="1:2" x14ac:dyDescent="0.25">
      <c r="A43" s="9" t="s">
        <v>388</v>
      </c>
      <c r="B43">
        <v>1908</v>
      </c>
    </row>
    <row r="44" spans="1:2" x14ac:dyDescent="0.25">
      <c r="A44" s="5" t="s">
        <v>376</v>
      </c>
      <c r="B44">
        <v>17648.55</v>
      </c>
    </row>
    <row r="45" spans="1:2" x14ac:dyDescent="0.25">
      <c r="A45" s="9" t="s">
        <v>389</v>
      </c>
      <c r="B45">
        <v>3004.2</v>
      </c>
    </row>
    <row r="46" spans="1:2" x14ac:dyDescent="0.25">
      <c r="A46" s="9" t="s">
        <v>390</v>
      </c>
      <c r="B46">
        <v>897.75</v>
      </c>
    </row>
    <row r="47" spans="1:2" x14ac:dyDescent="0.25">
      <c r="A47" s="9" t="s">
        <v>391</v>
      </c>
      <c r="B47">
        <v>1536.8</v>
      </c>
    </row>
    <row r="48" spans="1:2" x14ac:dyDescent="0.25">
      <c r="A48" s="9" t="s">
        <v>392</v>
      </c>
      <c r="B48">
        <v>4855.5</v>
      </c>
    </row>
    <row r="49" spans="1:2" x14ac:dyDescent="0.25">
      <c r="A49" s="9" t="s">
        <v>393</v>
      </c>
      <c r="B49">
        <v>1401</v>
      </c>
    </row>
    <row r="50" spans="1:2" x14ac:dyDescent="0.25">
      <c r="A50" s="9" t="s">
        <v>394</v>
      </c>
      <c r="B50">
        <v>1666.8</v>
      </c>
    </row>
    <row r="51" spans="1:2" x14ac:dyDescent="0.25">
      <c r="A51" s="9" t="s">
        <v>395</v>
      </c>
      <c r="B51">
        <v>1380</v>
      </c>
    </row>
    <row r="52" spans="1:2" x14ac:dyDescent="0.25">
      <c r="A52" s="9" t="s">
        <v>396</v>
      </c>
      <c r="B52">
        <v>750.5</v>
      </c>
    </row>
    <row r="53" spans="1:2" x14ac:dyDescent="0.25">
      <c r="A53" s="9" t="s">
        <v>397</v>
      </c>
      <c r="B53">
        <v>2156</v>
      </c>
    </row>
    <row r="54" spans="1:2" x14ac:dyDescent="0.25">
      <c r="A54" s="5" t="s">
        <v>377</v>
      </c>
      <c r="B54">
        <v>11157</v>
      </c>
    </row>
    <row r="55" spans="1:2" x14ac:dyDescent="0.25">
      <c r="A55" s="9" t="s">
        <v>398</v>
      </c>
      <c r="B55">
        <v>1850</v>
      </c>
    </row>
    <row r="56" spans="1:2" x14ac:dyDescent="0.25">
      <c r="A56" s="9" t="s">
        <v>399</v>
      </c>
      <c r="B56">
        <v>407.15</v>
      </c>
    </row>
    <row r="57" spans="1:2" x14ac:dyDescent="0.25">
      <c r="A57" s="9" t="s">
        <v>400</v>
      </c>
      <c r="B57">
        <v>352.45</v>
      </c>
    </row>
    <row r="58" spans="1:2" x14ac:dyDescent="0.25">
      <c r="A58" s="9" t="s">
        <v>401</v>
      </c>
      <c r="B58">
        <v>2151</v>
      </c>
    </row>
    <row r="59" spans="1:2" x14ac:dyDescent="0.25">
      <c r="A59" s="9" t="s">
        <v>402</v>
      </c>
      <c r="B59">
        <v>769</v>
      </c>
    </row>
    <row r="60" spans="1:2" x14ac:dyDescent="0.25">
      <c r="A60" s="9" t="s">
        <v>403</v>
      </c>
      <c r="B60">
        <v>1299.5999999999999</v>
      </c>
    </row>
    <row r="61" spans="1:2" x14ac:dyDescent="0.25">
      <c r="A61" s="9" t="s">
        <v>404</v>
      </c>
      <c r="B61">
        <v>1056</v>
      </c>
    </row>
    <row r="62" spans="1:2" x14ac:dyDescent="0.25">
      <c r="A62" s="9" t="s">
        <v>405</v>
      </c>
      <c r="B62">
        <v>3271.8</v>
      </c>
    </row>
    <row r="63" spans="1:2" x14ac:dyDescent="0.25">
      <c r="A63" s="5" t="s">
        <v>211</v>
      </c>
      <c r="B63">
        <v>51555.450000000004</v>
      </c>
    </row>
    <row r="68" spans="6:6" x14ac:dyDescent="0.25">
      <c r="F68" t="s">
        <v>406</v>
      </c>
    </row>
  </sheetData>
  <conditionalFormatting sqref="A11:E14">
    <cfRule type="colorScale" priority="1">
      <colorScale>
        <cfvo type="min"/>
        <cfvo type="max"/>
        <color rgb="FFFF0000"/>
        <color rgb="FF00B050"/>
      </colorScale>
    </cfRule>
  </conditionalFormatting>
  <pageMargins left="0.7" right="0.7" top="0.75" bottom="0.75" header="0.3" footer="0.3"/>
  <drawing r:id="rId3"/>
  <legacyDrawing r:id="rId4"/>
  <mc:AlternateContent xmlns:mc="http://schemas.openxmlformats.org/markup-compatibility/2006">
    <mc:Choice Requires="x14">
      <controls>
        <mc:AlternateContent xmlns:mc="http://schemas.openxmlformats.org/markup-compatibility/2006">
          <mc:Choice Requires="x14">
            <control shapeId="11265" r:id="rId5" name="Button 1">
              <controlPr defaultSize="0" print="0" autoFill="0" autoPict="0">
                <anchor moveWithCells="1">
                  <from>
                    <xdr:col>3</xdr:col>
                    <xdr:colOff>742950</xdr:colOff>
                    <xdr:row>0</xdr:row>
                    <xdr:rowOff>142875</xdr:rowOff>
                  </from>
                  <to>
                    <xdr:col>4</xdr:col>
                    <xdr:colOff>666750</xdr:colOff>
                    <xdr:row>2</xdr:row>
                    <xdr:rowOff>0</xdr:rowOff>
                  </to>
                </anchor>
              </controlPr>
            </control>
          </mc:Choice>
        </mc:AlternateContent>
        <mc:AlternateContent xmlns:mc="http://schemas.openxmlformats.org/markup-compatibility/2006">
          <mc:Choice Requires="x14">
            <control shapeId="11266" r:id="rId6" name="Button 2">
              <controlPr defaultSize="0" print="0" autoFill="0" autoPict="0" macro="[0]!Actualizar">
                <anchor moveWithCells="1" sizeWithCells="1">
                  <from>
                    <xdr:col>5</xdr:col>
                    <xdr:colOff>171450</xdr:colOff>
                    <xdr:row>1</xdr:row>
                    <xdr:rowOff>9525</xdr:rowOff>
                  </from>
                  <to>
                    <xdr:col>6</xdr:col>
                    <xdr:colOff>19050</xdr:colOff>
                    <xdr:row>2</xdr:row>
                    <xdr:rowOff>38100</xdr:rowOff>
                  </to>
                </anchor>
              </controlPr>
            </control>
          </mc:Choice>
        </mc:AlternateContent>
      </controls>
    </mc:Choice>
  </mc:AlternateContent>
  <extLst>
    <ext xmlns:x14="http://schemas.microsoft.com/office/spreadsheetml/2009/9/main" uri="{A8765BA9-456A-4dab-B4F3-ACF838C121DE}">
      <x14:slicerList>
        <x14:slicer r:id="rId7"/>
      </x14:slicerList>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FD6270-3C2B-4027-B0C0-D59EC0A09DC4}">
  <dimension ref="A1:C46"/>
  <sheetViews>
    <sheetView workbookViewId="0">
      <selection activeCell="B78" sqref="B78"/>
    </sheetView>
  </sheetViews>
  <sheetFormatPr baseColWidth="10" defaultRowHeight="15" x14ac:dyDescent="0.25"/>
  <cols>
    <col min="1" max="1" width="11.42578125" customWidth="1"/>
  </cols>
  <sheetData>
    <row r="1" spans="1:2" x14ac:dyDescent="0.25">
      <c r="A1" s="38" t="s">
        <v>407</v>
      </c>
      <c r="B1" s="19"/>
    </row>
    <row r="3" spans="1:2" x14ac:dyDescent="0.25">
      <c r="A3" t="s">
        <v>408</v>
      </c>
    </row>
    <row r="4" spans="1:2" x14ac:dyDescent="0.25">
      <c r="A4" t="s">
        <v>409</v>
      </c>
    </row>
    <row r="6" spans="1:2" x14ac:dyDescent="0.25">
      <c r="A6" t="s">
        <v>410</v>
      </c>
    </row>
    <row r="8" spans="1:2" x14ac:dyDescent="0.25">
      <c r="A8" s="38" t="s">
        <v>411</v>
      </c>
    </row>
    <row r="9" spans="1:2" x14ac:dyDescent="0.25">
      <c r="A9" t="s">
        <v>413</v>
      </c>
    </row>
    <row r="10" spans="1:2" x14ac:dyDescent="0.25">
      <c r="A10" t="s">
        <v>414</v>
      </c>
    </row>
    <row r="11" spans="1:2" x14ac:dyDescent="0.25">
      <c r="A11" t="s">
        <v>415</v>
      </c>
    </row>
    <row r="13" spans="1:2" x14ac:dyDescent="0.25">
      <c r="A13" s="19" t="s">
        <v>412</v>
      </c>
    </row>
    <row r="14" spans="1:2" x14ac:dyDescent="0.25">
      <c r="A14" t="s">
        <v>416</v>
      </c>
    </row>
    <row r="15" spans="1:2" x14ac:dyDescent="0.25">
      <c r="A15" t="s">
        <v>417</v>
      </c>
    </row>
    <row r="17" spans="1:3" x14ac:dyDescent="0.25">
      <c r="A17" s="38" t="s">
        <v>418</v>
      </c>
      <c r="B17" s="19"/>
    </row>
    <row r="19" spans="1:3" x14ac:dyDescent="0.25">
      <c r="A19" t="s">
        <v>419</v>
      </c>
    </row>
    <row r="20" spans="1:3" x14ac:dyDescent="0.25">
      <c r="A20" t="s">
        <v>420</v>
      </c>
    </row>
    <row r="21" spans="1:3" x14ac:dyDescent="0.25">
      <c r="A21" t="s">
        <v>421</v>
      </c>
    </row>
    <row r="22" spans="1:3" x14ac:dyDescent="0.25">
      <c r="A22" t="s">
        <v>422</v>
      </c>
    </row>
    <row r="24" spans="1:3" x14ac:dyDescent="0.25">
      <c r="A24" s="38" t="s">
        <v>423</v>
      </c>
      <c r="B24" s="19"/>
    </row>
    <row r="26" spans="1:3" x14ac:dyDescent="0.25">
      <c r="A26" t="s">
        <v>424</v>
      </c>
    </row>
    <row r="27" spans="1:3" x14ac:dyDescent="0.25">
      <c r="A27" t="s">
        <v>425</v>
      </c>
    </row>
    <row r="28" spans="1:3" x14ac:dyDescent="0.25">
      <c r="A28" t="s">
        <v>426</v>
      </c>
    </row>
    <row r="29" spans="1:3" x14ac:dyDescent="0.25">
      <c r="A29" t="s">
        <v>427</v>
      </c>
    </row>
    <row r="31" spans="1:3" x14ac:dyDescent="0.25">
      <c r="A31" s="38" t="s">
        <v>428</v>
      </c>
      <c r="B31" s="19"/>
      <c r="C31" s="19"/>
    </row>
    <row r="33" spans="1:2" x14ac:dyDescent="0.25">
      <c r="A33" t="s">
        <v>429</v>
      </c>
    </row>
    <row r="35" spans="1:2" x14ac:dyDescent="0.25">
      <c r="A35" t="s">
        <v>430</v>
      </c>
    </row>
    <row r="37" spans="1:2" x14ac:dyDescent="0.25">
      <c r="A37" s="38" t="s">
        <v>431</v>
      </c>
      <c r="B37" s="19"/>
    </row>
    <row r="38" spans="1:2" x14ac:dyDescent="0.25">
      <c r="A38" t="s">
        <v>432</v>
      </c>
    </row>
    <row r="39" spans="1:2" x14ac:dyDescent="0.25">
      <c r="A39" t="s">
        <v>433</v>
      </c>
    </row>
    <row r="41" spans="1:2" x14ac:dyDescent="0.25">
      <c r="A41" t="s">
        <v>434</v>
      </c>
    </row>
    <row r="44" spans="1:2" x14ac:dyDescent="0.25">
      <c r="A44" t="s">
        <v>364</v>
      </c>
      <c r="B44">
        <f>SUM(Datos_Ventas_Completos!J:J)</f>
        <v>255529.7</v>
      </c>
    </row>
    <row r="45" spans="1:2" x14ac:dyDescent="0.25">
      <c r="A45" t="s">
        <v>435</v>
      </c>
      <c r="B45">
        <f>SUM(Datos_Ventas_Completos!O:O)</f>
        <v>6.3499999999999961</v>
      </c>
    </row>
    <row r="46" spans="1:2" x14ac:dyDescent="0.25">
      <c r="A46" t="s">
        <v>436</v>
      </c>
      <c r="B46">
        <f>B44*(1-6.35%)</f>
        <v>239303.56405000002</v>
      </c>
    </row>
  </sheetData>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AA1F42-5BD0-46BC-8EA9-D22717DE680A}">
  <dimension ref="A1:C11"/>
  <sheetViews>
    <sheetView workbookViewId="0">
      <selection activeCell="A13" sqref="A13"/>
    </sheetView>
  </sheetViews>
  <sheetFormatPr baseColWidth="10" defaultRowHeight="15" x14ac:dyDescent="0.25"/>
  <sheetData>
    <row r="1" spans="1:3" x14ac:dyDescent="0.25">
      <c r="A1" s="38" t="s">
        <v>437</v>
      </c>
      <c r="B1" s="19"/>
      <c r="C1" s="19"/>
    </row>
    <row r="2" spans="1:3" x14ac:dyDescent="0.25">
      <c r="A2" t="s">
        <v>438</v>
      </c>
    </row>
    <row r="4" spans="1:3" x14ac:dyDescent="0.25">
      <c r="A4" s="38" t="s">
        <v>439</v>
      </c>
      <c r="B4" s="19"/>
      <c r="C4" s="19"/>
    </row>
    <row r="5" spans="1:3" x14ac:dyDescent="0.25">
      <c r="A5" t="s">
        <v>440</v>
      </c>
    </row>
    <row r="7" spans="1:3" x14ac:dyDescent="0.25">
      <c r="A7" s="38" t="s">
        <v>441</v>
      </c>
      <c r="B7" s="19"/>
    </row>
    <row r="8" spans="1:3" x14ac:dyDescent="0.25">
      <c r="A8" t="s">
        <v>442</v>
      </c>
    </row>
    <row r="10" spans="1:3" x14ac:dyDescent="0.25">
      <c r="A10" s="38" t="s">
        <v>443</v>
      </c>
      <c r="B10" s="19"/>
      <c r="C10" s="19"/>
    </row>
    <row r="11" spans="1:3" x14ac:dyDescent="0.25">
      <c r="A11" t="s">
        <v>444</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329A08-21D4-4AFB-BCA0-DAA226100BC9}">
  <dimension ref="A1:A13"/>
  <sheetViews>
    <sheetView workbookViewId="0">
      <selection activeCell="A15" sqref="A15"/>
    </sheetView>
  </sheetViews>
  <sheetFormatPr baseColWidth="10" defaultRowHeight="15" x14ac:dyDescent="0.25"/>
  <sheetData>
    <row r="1" spans="1:1" x14ac:dyDescent="0.25">
      <c r="A1" s="11" t="s">
        <v>445</v>
      </c>
    </row>
    <row r="2" spans="1:1" x14ac:dyDescent="0.25">
      <c r="A2" s="11" t="s">
        <v>446</v>
      </c>
    </row>
    <row r="3" spans="1:1" x14ac:dyDescent="0.25">
      <c r="A3" s="11" t="s">
        <v>447</v>
      </c>
    </row>
    <row r="4" spans="1:1" x14ac:dyDescent="0.25">
      <c r="A4" s="11" t="s">
        <v>448</v>
      </c>
    </row>
    <row r="5" spans="1:1" x14ac:dyDescent="0.25">
      <c r="A5" s="11" t="s">
        <v>449</v>
      </c>
    </row>
    <row r="6" spans="1:1" x14ac:dyDescent="0.25">
      <c r="A6" s="11" t="s">
        <v>450</v>
      </c>
    </row>
    <row r="7" spans="1:1" x14ac:dyDescent="0.25">
      <c r="A7" s="11" t="s">
        <v>451</v>
      </c>
    </row>
    <row r="8" spans="1:1" x14ac:dyDescent="0.25">
      <c r="A8" s="11" t="s">
        <v>452</v>
      </c>
    </row>
    <row r="10" spans="1:1" x14ac:dyDescent="0.25">
      <c r="A10" s="11" t="s">
        <v>453</v>
      </c>
    </row>
    <row r="11" spans="1:1" x14ac:dyDescent="0.25">
      <c r="A11" t="s">
        <v>454</v>
      </c>
    </row>
    <row r="12" spans="1:1" x14ac:dyDescent="0.25">
      <c r="A12" t="s">
        <v>455</v>
      </c>
    </row>
    <row r="13" spans="1:1" x14ac:dyDescent="0.25">
      <c r="A13" t="s">
        <v>456</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61673D-41AD-42BD-A139-7D6CA34124F0}">
  <dimension ref="A1:H17"/>
  <sheetViews>
    <sheetView workbookViewId="0">
      <selection activeCell="I17" sqref="I17"/>
    </sheetView>
  </sheetViews>
  <sheetFormatPr baseColWidth="10" defaultRowHeight="15" x14ac:dyDescent="0.25"/>
  <sheetData>
    <row r="1" spans="1:8" x14ac:dyDescent="0.25">
      <c r="A1" s="38" t="s">
        <v>457</v>
      </c>
      <c r="B1" s="38"/>
      <c r="G1" s="38" t="s">
        <v>459</v>
      </c>
    </row>
    <row r="9" spans="1:8" x14ac:dyDescent="0.25">
      <c r="A9" s="38" t="s">
        <v>458</v>
      </c>
      <c r="B9" s="38"/>
      <c r="G9" s="38" t="s">
        <v>423</v>
      </c>
      <c r="H9" s="19"/>
    </row>
    <row r="17" spans="1:5" x14ac:dyDescent="0.25">
      <c r="A17" s="11"/>
      <c r="B17" s="11"/>
      <c r="D17" s="38" t="s">
        <v>460</v>
      </c>
      <c r="E17" s="38"/>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15</vt:i4>
      </vt:variant>
      <vt:variant>
        <vt:lpstr>Rangos con nombre</vt:lpstr>
      </vt:variant>
      <vt:variant>
        <vt:i4>5</vt:i4>
      </vt:variant>
    </vt:vector>
  </HeadingPairs>
  <TitlesOfParts>
    <vt:vector size="20" baseType="lpstr">
      <vt:lpstr>Hoja1</vt:lpstr>
      <vt:lpstr>Datos_Ventas_Completos</vt:lpstr>
      <vt:lpstr>Datos_Empleados</vt:lpstr>
      <vt:lpstr>Datos_Productos</vt:lpstr>
      <vt:lpstr>Datos_Marketing</vt:lpstr>
      <vt:lpstr>Criterios_Analisis</vt:lpstr>
      <vt:lpstr>Estadisticas_Descriptivas</vt:lpstr>
      <vt:lpstr>Distribuciones</vt:lpstr>
      <vt:lpstr>Modelos_Regresion</vt:lpstr>
      <vt:lpstr>Inferencia_Estadistica</vt:lpstr>
      <vt:lpstr>Dashboard_Ejecutivo</vt:lpstr>
      <vt:lpstr>Resumen_Ejecutivo</vt:lpstr>
      <vt:lpstr>Metodología</vt:lpstr>
      <vt:lpstr>Glosiario</vt:lpstr>
      <vt:lpstr>Presentacion</vt:lpstr>
      <vt:lpstr>Datos_Ventas_Completos!Área_de_extracción</vt:lpstr>
      <vt:lpstr>Datos_Empleados</vt:lpstr>
      <vt:lpstr>Datos_Ventas_Completos</vt:lpstr>
      <vt:lpstr>Satisfaccion_Cliente</vt:lpstr>
      <vt:lpstr>Ventas_Actuales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Benítez Valencia Jorge Alberto</dc:creator>
  <cp:lastModifiedBy>Benítez Valencia Jorge Alberto</cp:lastModifiedBy>
  <dcterms:created xsi:type="dcterms:W3CDTF">2026-03-12T07:00:45Z</dcterms:created>
  <dcterms:modified xsi:type="dcterms:W3CDTF">2026-09-03T15:59:11Z</dcterms:modified>
</cp:coreProperties>
</file>